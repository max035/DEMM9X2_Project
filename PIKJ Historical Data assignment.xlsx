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an\OneDrive - University of Johannesburg\MFE\Semester 2 2026\Debt market modelling\"/>
    </mc:Choice>
  </mc:AlternateContent>
  <xr:revisionPtr revIDLastSave="0" documentId="8_{8C7405DD-40B8-484F-911E-617EF8DDBE35}" xr6:coauthVersionLast="47" xr6:coauthVersionMax="47" xr10:uidLastSave="{00000000-0000-0000-0000-000000000000}"/>
  <bookViews>
    <workbookView xWindow="-120" yWindow="-120" windowWidth="20730" windowHeight="11040" firstSheet="1" activeTab="6" xr2:uid="{34C78959-4E49-4F3F-BDE5-1D69FC944ECC}"/>
  </bookViews>
  <sheets>
    <sheet name="PIKJ Historical Data" sheetId="5" r:id="rId1"/>
    <sheet name="2025 PIKJ " sheetId="2" r:id="rId2"/>
    <sheet name="2024 PIKJ" sheetId="3" r:id="rId3"/>
    <sheet name="2023 PIKJ " sheetId="4" r:id="rId4"/>
    <sheet name="2022 PIKJ Historical Data" sheetId="1" r:id="rId5"/>
    <sheet name="Cost of Debt" sheetId="7" r:id="rId6"/>
    <sheet name="WACC" sheetId="8" r:id="rId7"/>
  </sheets>
  <calcPr calcId="0"/>
</workbook>
</file>

<file path=xl/calcChain.xml><?xml version="1.0" encoding="utf-8"?>
<calcChain xmlns="http://schemas.openxmlformats.org/spreadsheetml/2006/main">
  <c r="J28" i="8" l="1"/>
  <c r="I28" i="8"/>
  <c r="H28" i="8"/>
  <c r="G28" i="8"/>
  <c r="G36" i="8" s="1"/>
  <c r="F28" i="8"/>
  <c r="H36" i="8"/>
  <c r="G34" i="8"/>
  <c r="H34" i="8"/>
  <c r="I34" i="8"/>
  <c r="I36" i="8" s="1"/>
  <c r="J34" i="8"/>
  <c r="F34" i="8"/>
  <c r="G33" i="8"/>
  <c r="F33" i="8"/>
  <c r="G26" i="8"/>
  <c r="H26" i="8"/>
  <c r="I26" i="8"/>
  <c r="J26" i="8"/>
  <c r="F26" i="8"/>
  <c r="G24" i="8"/>
  <c r="H24" i="8"/>
  <c r="I24" i="8"/>
  <c r="J24" i="8"/>
  <c r="F24" i="8"/>
  <c r="G23" i="8"/>
  <c r="H23" i="8"/>
  <c r="I23" i="8"/>
  <c r="J23" i="8"/>
  <c r="F23" i="8"/>
  <c r="G21" i="8"/>
  <c r="H21" i="8"/>
  <c r="I21" i="8"/>
  <c r="J21" i="8"/>
  <c r="F21" i="8"/>
  <c r="G19" i="8"/>
  <c r="H19" i="8"/>
  <c r="I19" i="8"/>
  <c r="J19" i="8"/>
  <c r="G15" i="8"/>
  <c r="H15" i="8"/>
  <c r="I15" i="8"/>
  <c r="J15" i="8"/>
  <c r="K15" i="8"/>
  <c r="F19" i="8"/>
  <c r="G22" i="8"/>
  <c r="H22" i="8"/>
  <c r="I22" i="8"/>
  <c r="J22" i="8"/>
  <c r="F22" i="8"/>
  <c r="G20" i="8"/>
  <c r="H20" i="8"/>
  <c r="I20" i="8"/>
  <c r="J20" i="8"/>
  <c r="F20" i="8"/>
  <c r="G18" i="8"/>
  <c r="H18" i="8"/>
  <c r="I18" i="8"/>
  <c r="J18" i="8"/>
  <c r="F18" i="8"/>
  <c r="F10" i="8"/>
  <c r="G10" i="8"/>
  <c r="H10" i="8"/>
  <c r="I10" i="8"/>
  <c r="J10" i="8"/>
  <c r="K10" i="8"/>
  <c r="F15" i="8"/>
  <c r="G9" i="8"/>
  <c r="H9" i="8"/>
  <c r="I9" i="8"/>
  <c r="J9" i="8"/>
  <c r="K9" i="8"/>
  <c r="F9" i="8"/>
  <c r="G6" i="8"/>
  <c r="H6" i="8"/>
  <c r="I6" i="8"/>
  <c r="J6" i="8"/>
  <c r="K6" i="8"/>
  <c r="F6" i="8"/>
  <c r="J21" i="3"/>
  <c r="J20" i="3"/>
  <c r="E4" i="3"/>
  <c r="E3" i="3"/>
  <c r="E2" i="3"/>
  <c r="I21" i="2"/>
  <c r="J21" i="4"/>
  <c r="I21" i="1"/>
  <c r="I18" i="1"/>
  <c r="J18" i="4"/>
  <c r="J18" i="3"/>
  <c r="I18" i="2"/>
  <c r="I20" i="1"/>
  <c r="J20" i="4"/>
  <c r="I20" i="2"/>
  <c r="I19" i="1"/>
  <c r="J19" i="4"/>
  <c r="J19" i="3"/>
  <c r="I19" i="2"/>
  <c r="E3" i="1"/>
  <c r="E4" i="1"/>
  <c r="E5" i="1"/>
  <c r="E6" i="1"/>
  <c r="E7" i="1"/>
  <c r="E8" i="1"/>
  <c r="E9" i="1"/>
  <c r="E10" i="1"/>
  <c r="E11" i="1"/>
  <c r="E12" i="1"/>
  <c r="E13" i="1"/>
  <c r="E2" i="1"/>
  <c r="E3" i="4"/>
  <c r="E4" i="4"/>
  <c r="E5" i="4"/>
  <c r="E6" i="4"/>
  <c r="E7" i="4"/>
  <c r="E8" i="4"/>
  <c r="E9" i="4"/>
  <c r="E10" i="4"/>
  <c r="E11" i="4"/>
  <c r="E12" i="4"/>
  <c r="E13" i="4"/>
  <c r="E2" i="4"/>
  <c r="E5" i="3"/>
  <c r="E6" i="3"/>
  <c r="E7" i="3"/>
  <c r="E8" i="3"/>
  <c r="E9" i="3"/>
  <c r="E10" i="3"/>
  <c r="E11" i="3"/>
  <c r="E12" i="3"/>
  <c r="E13" i="3"/>
  <c r="E3" i="2"/>
  <c r="E4" i="2"/>
  <c r="E5" i="2"/>
  <c r="E6" i="2"/>
  <c r="E7" i="2"/>
  <c r="E8" i="2"/>
  <c r="E9" i="2"/>
  <c r="E10" i="2"/>
  <c r="E11" i="2"/>
  <c r="E12" i="2"/>
  <c r="E13" i="2"/>
  <c r="E2" i="2"/>
  <c r="H20" i="5"/>
  <c r="H18" i="5"/>
  <c r="H17" i="5"/>
  <c r="H16" i="5"/>
  <c r="J36" i="8" l="1"/>
  <c r="F36" i="8"/>
  <c r="E3" i="5" l="1"/>
  <c r="E4" i="5"/>
  <c r="E5" i="5"/>
  <c r="E6" i="5"/>
  <c r="E7" i="5"/>
  <c r="E8" i="5"/>
  <c r="E9" i="5"/>
  <c r="E10" i="5"/>
  <c r="E11" i="5"/>
  <c r="E12" i="5"/>
  <c r="E13" i="5"/>
  <c r="E2" i="5"/>
  <c r="C3" i="3"/>
  <c r="C4" i="3"/>
  <c r="C5" i="3"/>
  <c r="C6" i="3"/>
  <c r="C7" i="3"/>
  <c r="C8" i="3"/>
  <c r="C9" i="3"/>
  <c r="C10" i="3"/>
  <c r="C11" i="3"/>
  <c r="C12" i="3"/>
  <c r="C13" i="3"/>
  <c r="C2" i="3"/>
  <c r="C3" i="2"/>
  <c r="C4" i="2"/>
  <c r="C5" i="2"/>
  <c r="C6" i="2"/>
  <c r="C7" i="2"/>
  <c r="C8" i="2"/>
  <c r="C9" i="2"/>
  <c r="C10" i="2"/>
  <c r="C11" i="2"/>
  <c r="C12" i="2"/>
  <c r="C13" i="2"/>
  <c r="C2" i="2"/>
  <c r="C3" i="5"/>
  <c r="C4" i="5"/>
  <c r="C5" i="5"/>
  <c r="C6" i="5"/>
  <c r="C7" i="5"/>
  <c r="C8" i="5"/>
  <c r="C9" i="5"/>
  <c r="C10" i="5"/>
  <c r="C11" i="5"/>
  <c r="C12" i="5"/>
  <c r="C13" i="5"/>
  <c r="C2" i="5"/>
  <c r="C3" i="4"/>
  <c r="C4" i="4"/>
  <c r="C5" i="4"/>
  <c r="C6" i="4"/>
  <c r="C7" i="4"/>
  <c r="C8" i="4"/>
  <c r="C9" i="4"/>
  <c r="C10" i="4"/>
  <c r="C11" i="4"/>
  <c r="C12" i="4"/>
  <c r="C13" i="4"/>
  <c r="C2" i="4"/>
  <c r="C4" i="1"/>
  <c r="C2" i="1"/>
  <c r="C3" i="1"/>
  <c r="C5" i="1"/>
  <c r="C6" i="1"/>
  <c r="C7" i="1"/>
  <c r="C8" i="1"/>
  <c r="C9" i="1"/>
  <c r="C10" i="1"/>
  <c r="C11" i="1"/>
  <c r="C12" i="1"/>
  <c r="C13" i="1"/>
</calcChain>
</file>

<file path=xl/sharedStrings.xml><?xml version="1.0" encoding="utf-8"?>
<sst xmlns="http://schemas.openxmlformats.org/spreadsheetml/2006/main" count="241" uniqueCount="105">
  <si>
    <t>Price</t>
  </si>
  <si>
    <t xml:space="preserve">Date </t>
  </si>
  <si>
    <t xml:space="preserve">Returns </t>
  </si>
  <si>
    <t>Date</t>
  </si>
  <si>
    <t>Returns</t>
  </si>
  <si>
    <t>2026/03/01,"1,910"</t>
  </si>
  <si>
    <t>2026/02/01,"1,945"</t>
  </si>
  <si>
    <t>2026/01/01,"2,407"</t>
  </si>
  <si>
    <t>2025/12/01,"2,490"</t>
  </si>
  <si>
    <t>2025/11/01,"2,617"</t>
  </si>
  <si>
    <t>2025/10/01,"2,830"</t>
  </si>
  <si>
    <t>2025/09/01,"2,539"</t>
  </si>
  <si>
    <t>2025/08/01,"2,758"</t>
  </si>
  <si>
    <t>2025/07/01,"2,835"</t>
  </si>
  <si>
    <t>2025/06/01,"2,680"</t>
  </si>
  <si>
    <t>2025/05/01,"2,721"</t>
  </si>
  <si>
    <t>2025/04/01,"2,797"</t>
  </si>
  <si>
    <t>2025/03/01,"2,743"</t>
  </si>
  <si>
    <t>2024/03/01,"1,868"</t>
  </si>
  <si>
    <t>2025/02/01,"2,815"</t>
  </si>
  <si>
    <t>2025/01/01,"2,870"</t>
  </si>
  <si>
    <t>2024/12/01,"3,070"</t>
  </si>
  <si>
    <t>2024/11/01,"3,020"</t>
  </si>
  <si>
    <t>2024/10/01,"2,545"</t>
  </si>
  <si>
    <t>2024/09/01,"2,583"</t>
  </si>
  <si>
    <t>2024/08/01,"2,430"</t>
  </si>
  <si>
    <t>2024/07/01,"2,325"</t>
  </si>
  <si>
    <t>2024/06/01,"2,571"</t>
  </si>
  <si>
    <t>2024/05/01,"2,484"</t>
  </si>
  <si>
    <t>2024/04/01,"2,016"</t>
  </si>
  <si>
    <t>FTSE Price</t>
  </si>
  <si>
    <t>Market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</si>
  <si>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</si>
  <si>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</si>
  <si>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</si>
  <si>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</si>
  <si>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</si>
  <si>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</si>
  <si>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</si>
  <si>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</si>
  <si>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</si>
  <si>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</si>
  <si>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</si>
  <si>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</si>
  <si>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</si>
  <si>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</si>
  <si>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</si>
  <si>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</si>
  <si>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</si>
  <si>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</si>
  <si>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</si>
  <si>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</si>
  <si>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</si>
  <si>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</si>
  <si>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</si>
  <si>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</si>
  <si>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</si>
  <si>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Risk free (Bond Yield)</t>
  </si>
  <si>
    <t>Rf(annual -already annual yield)</t>
  </si>
  <si>
    <t>Rm(annual)</t>
  </si>
  <si>
    <t>Beta</t>
  </si>
  <si>
    <t>Ke (Cost of equity)</t>
  </si>
  <si>
    <t>Rf bond yield</t>
  </si>
  <si>
    <t>Market Returns</t>
  </si>
  <si>
    <t>Rf(Bond Yield )</t>
  </si>
  <si>
    <t xml:space="preserve">Market returns </t>
  </si>
  <si>
    <t>Rf(annual)</t>
  </si>
  <si>
    <t>Rf (annual)</t>
  </si>
  <si>
    <t>Rm (annual)</t>
  </si>
  <si>
    <t>Bond Yield</t>
  </si>
  <si>
    <t xml:space="preserve">Bond Yield </t>
  </si>
  <si>
    <t>Ke</t>
  </si>
  <si>
    <t>Year</t>
  </si>
  <si>
    <t>Tax</t>
  </si>
  <si>
    <t>Borrowings(non-current)</t>
  </si>
  <si>
    <t>Bank overdraft/ overnight borrowings(current)</t>
  </si>
  <si>
    <t>Borrowings(current)</t>
  </si>
  <si>
    <t>Funding debt sub total</t>
  </si>
  <si>
    <t>Lease liabilities(non current)</t>
  </si>
  <si>
    <t>Lease liabilities(current)</t>
  </si>
  <si>
    <t xml:space="preserve">Lease liabilities subtotal </t>
  </si>
  <si>
    <t xml:space="preserve">Total interest bearing debt </t>
  </si>
  <si>
    <t xml:space="preserve">Expenses </t>
  </si>
  <si>
    <t>Funding finance expense</t>
  </si>
  <si>
    <t>Leases finance expense</t>
  </si>
  <si>
    <t xml:space="preserve">Total finance costs </t>
  </si>
  <si>
    <t>Cost of debt per category</t>
  </si>
  <si>
    <t>Average funding debt</t>
  </si>
  <si>
    <t>Average lease liabilities</t>
  </si>
  <si>
    <t xml:space="preserve">Average total interest bearing debt </t>
  </si>
  <si>
    <t>Average funding debt (Cost %)</t>
  </si>
  <si>
    <t>Average lease liabilities(Cost %)</t>
  </si>
  <si>
    <t>Weight (funding)</t>
  </si>
  <si>
    <t>Weight (leases)</t>
  </si>
  <si>
    <t>Weighted Cost of Debt(Kd)</t>
  </si>
  <si>
    <t>Cost of equity (Ke)</t>
  </si>
  <si>
    <t>D(market debt same as total interest bearing debt)</t>
  </si>
  <si>
    <t xml:space="preserve">Tax rate </t>
  </si>
  <si>
    <t>Number of Ordinary shares issued</t>
  </si>
  <si>
    <t xml:space="preserve">Treasyry shares issued </t>
  </si>
  <si>
    <t>Shares issued outside Group</t>
  </si>
  <si>
    <t xml:space="preserve">Share price </t>
  </si>
  <si>
    <t>Market equity</t>
  </si>
  <si>
    <t>WACC</t>
  </si>
  <si>
    <t>Units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</si>
</sst>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3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33" borderId="0" xfId="0" applyFill="1"/>
    <xf numFmtId="0" fontId="0" fillId="34" borderId="0" xfId="0" applyFill="1"/>
    <xf numFmtId="4" fontId="0" fillId="0" borderId="0" xfId="0" applyNumberFormat="1"/>
    <xf numFmtId="3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299E-9E32-4688-8C6A-167CDC1FE1D1}">
  <dimension ref="A1:J33"/>
  <sheetViews>
    <sheetView topLeftCell="A16" workbookViewId="0">
      <selection sqref="A1:K33"/>
    </sheetView>
  </sheetViews>
  <sheetFormatPr defaultRowHeight="15" x14ac:dyDescent="0.25"/>
  <cols>
    <col min="5" max="5" width="15.5703125" customWidth="1"/>
    <col min="6" max="6" width="19.7109375" customWidth="1"/>
  </cols>
  <sheetData>
    <row r="1" spans="1:8" x14ac:dyDescent="0.25">
      <c r="A1" t="s">
        <v>3</v>
      </c>
      <c r="B1" t="s">
        <v>0</v>
      </c>
      <c r="C1" t="s">
        <v>4</v>
      </c>
      <c r="D1" t="s">
        <v>30</v>
      </c>
      <c r="E1" t="s">
        <v>31</v>
      </c>
      <c r="G1" t="s">
        <v>57</v>
      </c>
    </row>
    <row r="2" spans="1:8" x14ac:dyDescent="0.25">
      <c r="A2" t="s">
        <v>5</v>
      </c>
      <c r="B2">
        <v>1910</v>
      </c>
      <c r="C2">
        <f>B2/B3-1</f>
        <v>-1.7994858611825149E-2</v>
      </c>
      <c r="D2">
        <v>114067.56</v>
      </c>
      <c r="E2">
        <f>D2/D3-1</f>
        <v>-0.112008437462633</v>
      </c>
      <c r="G2">
        <v>9.1649999999999991</v>
      </c>
    </row>
    <row r="3" spans="1:8" x14ac:dyDescent="0.25">
      <c r="A3" t="s">
        <v>6</v>
      </c>
      <c r="B3">
        <v>1945</v>
      </c>
      <c r="C3">
        <f t="shared" ref="C3:C13" si="0">B3/B4-1</f>
        <v>-0.19194017449106771</v>
      </c>
      <c r="D3">
        <v>128455.67999999999</v>
      </c>
      <c r="E3">
        <f t="shared" ref="E3:E13" si="1">D3/D4-1</f>
        <v>7.0056219409053488E-2</v>
      </c>
      <c r="G3">
        <v>7.97</v>
      </c>
    </row>
    <row r="4" spans="1:8" x14ac:dyDescent="0.25">
      <c r="A4" t="s">
        <v>7</v>
      </c>
      <c r="B4">
        <v>2407</v>
      </c>
      <c r="C4">
        <f t="shared" si="0"/>
        <v>-3.3333333333333326E-2</v>
      </c>
      <c r="D4">
        <v>120045.73</v>
      </c>
      <c r="E4">
        <f t="shared" si="1"/>
        <v>3.6375438694636664E-2</v>
      </c>
      <c r="G4">
        <v>8.0350000000000001</v>
      </c>
    </row>
    <row r="5" spans="1:8" x14ac:dyDescent="0.25">
      <c r="A5" t="s">
        <v>8</v>
      </c>
      <c r="B5">
        <v>2490</v>
      </c>
      <c r="C5">
        <f t="shared" si="0"/>
        <v>-4.8528849828047393E-2</v>
      </c>
      <c r="D5">
        <v>115832.28</v>
      </c>
      <c r="E5">
        <f t="shared" si="1"/>
        <v>4.3924256012450202E-2</v>
      </c>
      <c r="G5">
        <v>8.2100000000000009</v>
      </c>
    </row>
    <row r="6" spans="1:8" x14ac:dyDescent="0.25">
      <c r="A6" t="s">
        <v>9</v>
      </c>
      <c r="B6">
        <v>2617</v>
      </c>
      <c r="C6">
        <f t="shared" si="0"/>
        <v>-7.5265017667844547E-2</v>
      </c>
      <c r="D6">
        <v>110958.51</v>
      </c>
      <c r="E6">
        <f t="shared" si="1"/>
        <v>1.5698408217381443E-2</v>
      </c>
      <c r="G6">
        <v>8.4949999999999992</v>
      </c>
    </row>
    <row r="7" spans="1:8" x14ac:dyDescent="0.25">
      <c r="A7" t="s">
        <v>10</v>
      </c>
      <c r="B7">
        <v>2830</v>
      </c>
      <c r="C7">
        <f t="shared" si="0"/>
        <v>0.11461205198897195</v>
      </c>
      <c r="D7">
        <v>109243.56</v>
      </c>
      <c r="E7">
        <f t="shared" si="1"/>
        <v>1.2072208683896912E-2</v>
      </c>
      <c r="G7">
        <v>8.8650000000000002</v>
      </c>
    </row>
    <row r="8" spans="1:8" x14ac:dyDescent="0.25">
      <c r="A8" t="s">
        <v>11</v>
      </c>
      <c r="B8">
        <v>2539</v>
      </c>
      <c r="C8">
        <f t="shared" si="0"/>
        <v>-7.9405366207396688E-2</v>
      </c>
      <c r="D8">
        <v>107940.48</v>
      </c>
      <c r="E8">
        <f t="shared" si="1"/>
        <v>5.9948491485147803E-2</v>
      </c>
      <c r="G8">
        <v>9.18</v>
      </c>
    </row>
    <row r="9" spans="1:8" x14ac:dyDescent="0.25">
      <c r="A9" t="s">
        <v>12</v>
      </c>
      <c r="B9">
        <v>2758</v>
      </c>
      <c r="C9">
        <f t="shared" si="0"/>
        <v>-2.7160493827160459E-2</v>
      </c>
      <c r="D9">
        <v>101835.59</v>
      </c>
      <c r="E9">
        <f t="shared" si="1"/>
        <v>3.365911990427084E-2</v>
      </c>
      <c r="G9">
        <v>9.6050000000000004</v>
      </c>
    </row>
    <row r="10" spans="1:8" x14ac:dyDescent="0.25">
      <c r="A10" t="s">
        <v>13</v>
      </c>
      <c r="B10">
        <v>2835</v>
      </c>
      <c r="C10">
        <f t="shared" si="0"/>
        <v>5.7835820895522305E-2</v>
      </c>
      <c r="D10">
        <v>98519.51</v>
      </c>
      <c r="E10">
        <f t="shared" si="1"/>
        <v>2.1671426263308202E-2</v>
      </c>
      <c r="G10">
        <v>9.6300000000000008</v>
      </c>
    </row>
    <row r="11" spans="1:8" x14ac:dyDescent="0.25">
      <c r="A11" t="s">
        <v>14</v>
      </c>
      <c r="B11">
        <v>2680</v>
      </c>
      <c r="C11">
        <f t="shared" si="0"/>
        <v>-1.5067989709665608E-2</v>
      </c>
      <c r="D11">
        <v>96429.74</v>
      </c>
      <c r="E11">
        <f t="shared" si="1"/>
        <v>2.2250411424302063E-2</v>
      </c>
      <c r="G11">
        <v>9.9499999999999993</v>
      </c>
    </row>
    <row r="12" spans="1:8" x14ac:dyDescent="0.25">
      <c r="A12" t="s">
        <v>15</v>
      </c>
      <c r="B12">
        <v>2721</v>
      </c>
      <c r="C12">
        <f t="shared" si="0"/>
        <v>-2.7171969967822673E-2</v>
      </c>
      <c r="D12">
        <v>94330.84</v>
      </c>
      <c r="E12">
        <f t="shared" si="1"/>
        <v>2.9999435487155335E-2</v>
      </c>
      <c r="G12">
        <v>10.14</v>
      </c>
    </row>
    <row r="13" spans="1:8" x14ac:dyDescent="0.25">
      <c r="A13" t="s">
        <v>16</v>
      </c>
      <c r="B13">
        <v>2797</v>
      </c>
      <c r="C13">
        <f t="shared" si="0"/>
        <v>1.9686474662778064E-2</v>
      </c>
      <c r="D13">
        <v>91583.39</v>
      </c>
      <c r="E13">
        <f t="shared" si="1"/>
        <v>3.3235838801770612E-2</v>
      </c>
      <c r="G13">
        <v>10.605</v>
      </c>
    </row>
    <row r="14" spans="1:8" x14ac:dyDescent="0.25">
      <c r="A14" t="s">
        <v>17</v>
      </c>
      <c r="B14">
        <v>2743</v>
      </c>
      <c r="D14">
        <v>88637.45</v>
      </c>
      <c r="G14">
        <v>10.484999999999999</v>
      </c>
    </row>
    <row r="16" spans="1:8" x14ac:dyDescent="0.25">
      <c r="B16" t="s">
        <v>32</v>
      </c>
      <c r="G16" s="8" t="s">
        <v>58</v>
      </c>
      <c r="H16" s="8">
        <f>AVERAGE(G2:G14)</f>
        <v>9.2565384615384616</v>
      </c>
    </row>
    <row r="17" spans="2:10" ht="15.75" thickBot="1" x14ac:dyDescent="0.3">
      <c r="G17" s="8" t="s">
        <v>59</v>
      </c>
      <c r="H17" s="8">
        <f>(1+AVERAGE(E2:E13))^(12)-1</f>
        <v>0.30207393787683978</v>
      </c>
    </row>
    <row r="18" spans="2:10" x14ac:dyDescent="0.25">
      <c r="B18" s="7" t="s">
        <v>33</v>
      </c>
      <c r="C18" s="7"/>
      <c r="G18" s="8" t="s">
        <v>60</v>
      </c>
      <c r="H18" s="8">
        <f>C33</f>
        <v>-0.53765721790295906</v>
      </c>
    </row>
    <row r="19" spans="2:10" x14ac:dyDescent="0.25">
      <c r="B19" s="4" t="s">
        <v>34</v>
      </c>
      <c r="C19" s="4">
        <v>0.32531667395877079</v>
      </c>
      <c r="G19" s="8"/>
      <c r="H19" s="8"/>
    </row>
    <row r="20" spans="2:10" x14ac:dyDescent="0.25">
      <c r="B20" s="4" t="s">
        <v>35</v>
      </c>
      <c r="C20" s="4">
        <v>0.10583093835559719</v>
      </c>
      <c r="G20" s="8" t="s">
        <v>61</v>
      </c>
      <c r="H20" s="8">
        <f>H16+H18*(H17-H16)</f>
        <v>14.070970945141115</v>
      </c>
    </row>
    <row r="21" spans="2:10" x14ac:dyDescent="0.25">
      <c r="B21" s="4" t="s">
        <v>36</v>
      </c>
      <c r="C21" s="4">
        <v>1.6414032191156912E-2</v>
      </c>
    </row>
    <row r="22" spans="2:10" x14ac:dyDescent="0.25">
      <c r="B22" s="4" t="s">
        <v>37</v>
      </c>
      <c r="C22" s="4">
        <v>7.4720117128742658E-2</v>
      </c>
    </row>
    <row r="23" spans="2:10" ht="15.75" thickBot="1" x14ac:dyDescent="0.3">
      <c r="B23" s="5" t="s">
        <v>38</v>
      </c>
      <c r="C23" s="5">
        <v>12</v>
      </c>
    </row>
    <row r="25" spans="2:10" ht="15.75" thickBot="1" x14ac:dyDescent="0.3">
      <c r="B25" t="s">
        <v>39</v>
      </c>
    </row>
    <row r="26" spans="2:10" x14ac:dyDescent="0.25">
      <c r="B26" s="6"/>
      <c r="C26" s="6" t="s">
        <v>44</v>
      </c>
      <c r="D26" s="6" t="s">
        <v>45</v>
      </c>
      <c r="E26" s="6" t="s">
        <v>46</v>
      </c>
      <c r="F26" s="6" t="s">
        <v>47</v>
      </c>
      <c r="G26" s="6" t="s">
        <v>48</v>
      </c>
    </row>
    <row r="27" spans="2:10" x14ac:dyDescent="0.25">
      <c r="B27" s="4" t="s">
        <v>40</v>
      </c>
      <c r="C27" s="4">
        <v>1</v>
      </c>
      <c r="D27" s="4">
        <v>6.6079705031925409E-3</v>
      </c>
      <c r="E27" s="4">
        <v>6.6079705031925409E-3</v>
      </c>
      <c r="F27" s="4">
        <v>1.1835674359049175</v>
      </c>
      <c r="G27" s="4">
        <v>0.30215581044429368</v>
      </c>
    </row>
    <row r="28" spans="2:10" x14ac:dyDescent="0.25">
      <c r="B28" s="4" t="s">
        <v>41</v>
      </c>
      <c r="C28" s="4">
        <v>10</v>
      </c>
      <c r="D28" s="4">
        <v>5.5830959037330222E-2</v>
      </c>
      <c r="E28" s="4">
        <v>5.5830959037330222E-3</v>
      </c>
      <c r="F28" s="4"/>
      <c r="G28" s="4"/>
    </row>
    <row r="29" spans="2:10" ht="15.75" thickBot="1" x14ac:dyDescent="0.3">
      <c r="B29" s="5" t="s">
        <v>42</v>
      </c>
      <c r="C29" s="5">
        <v>11</v>
      </c>
      <c r="D29" s="5">
        <v>6.2438929540522763E-2</v>
      </c>
      <c r="E29" s="5"/>
      <c r="F29" s="5"/>
      <c r="G29" s="5"/>
    </row>
    <row r="30" spans="2:10" ht="15.75" thickBot="1" x14ac:dyDescent="0.3"/>
    <row r="31" spans="2:10" x14ac:dyDescent="0.25">
      <c r="B31" s="6"/>
      <c r="C31" s="6" t="s">
        <v>49</v>
      </c>
      <c r="D31" s="6" t="s">
        <v>37</v>
      </c>
      <c r="E31" s="6" t="s">
        <v>50</v>
      </c>
      <c r="F31" s="6" t="s">
        <v>51</v>
      </c>
      <c r="G31" s="6" t="s">
        <v>52</v>
      </c>
      <c r="H31" s="6" t="s">
        <v>53</v>
      </c>
      <c r="I31" s="6" t="s">
        <v>54</v>
      </c>
      <c r="J31" s="6" t="s">
        <v>55</v>
      </c>
    </row>
    <row r="32" spans="2:10" x14ac:dyDescent="0.25">
      <c r="B32" s="4" t="s">
        <v>43</v>
      </c>
      <c r="C32" s="4">
        <v>-1.502018610376509E-2</v>
      </c>
      <c r="D32" s="4">
        <v>2.4208805588888299E-2</v>
      </c>
      <c r="E32" s="4">
        <v>-0.62044308830582162</v>
      </c>
      <c r="F32" s="4">
        <v>0.54884409047635929</v>
      </c>
      <c r="G32" s="4">
        <v>-6.8960766396549564E-2</v>
      </c>
      <c r="H32" s="4">
        <v>3.8920394189019387E-2</v>
      </c>
      <c r="I32" s="4">
        <v>-6.8960766396549564E-2</v>
      </c>
      <c r="J32" s="4">
        <v>3.8920394189019387E-2</v>
      </c>
    </row>
    <row r="33" spans="2:10" ht="15.75" thickBot="1" x14ac:dyDescent="0.3">
      <c r="B33" s="5" t="s">
        <v>56</v>
      </c>
      <c r="C33" s="5">
        <v>-0.53765721790295906</v>
      </c>
      <c r="D33" s="5">
        <v>0.49420709572321486</v>
      </c>
      <c r="E33" s="5">
        <v>-1.0879188553862424</v>
      </c>
      <c r="F33" s="5">
        <v>0.30215581044429463</v>
      </c>
      <c r="G33" s="5">
        <v>-1.6388192488111539</v>
      </c>
      <c r="H33" s="5">
        <v>0.56350481300523581</v>
      </c>
      <c r="I33" s="5">
        <v>-1.6388192488111539</v>
      </c>
      <c r="J33" s="5">
        <v>0.56350481300523581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3AC6-065B-478B-803F-1D5AFB850884}">
  <dimension ref="A1:J33"/>
  <sheetViews>
    <sheetView workbookViewId="0">
      <selection activeCell="I18" sqref="I18"/>
    </sheetView>
  </sheetViews>
  <sheetFormatPr defaultRowHeight="15" x14ac:dyDescent="0.25"/>
  <cols>
    <col min="6" max="6" width="20.140625" customWidth="1"/>
    <col min="7" max="7" width="14.28515625" customWidth="1"/>
  </cols>
  <sheetData>
    <row r="1" spans="1:8" x14ac:dyDescent="0.25">
      <c r="A1" t="s">
        <v>3</v>
      </c>
      <c r="B1" t="s">
        <v>0</v>
      </c>
      <c r="C1" t="s">
        <v>4</v>
      </c>
      <c r="D1" t="s">
        <v>30</v>
      </c>
      <c r="E1" t="s">
        <v>2</v>
      </c>
      <c r="G1" t="s">
        <v>62</v>
      </c>
      <c r="H1" t="s">
        <v>69</v>
      </c>
    </row>
    <row r="2" spans="1:8" x14ac:dyDescent="0.25">
      <c r="A2" t="s">
        <v>17</v>
      </c>
      <c r="B2">
        <v>2743</v>
      </c>
      <c r="C2">
        <f>B2/B3-1</f>
        <v>-2.5577264653641185E-2</v>
      </c>
      <c r="D2">
        <v>114067.56</v>
      </c>
      <c r="E2">
        <f>D2/D3-1</f>
        <v>-0.112008437462633</v>
      </c>
      <c r="H2">
        <v>10.605</v>
      </c>
    </row>
    <row r="3" spans="1:8" x14ac:dyDescent="0.25">
      <c r="A3" t="s">
        <v>19</v>
      </c>
      <c r="B3">
        <v>2815</v>
      </c>
      <c r="C3">
        <f t="shared" ref="C3:C13" si="0">B3/B4-1</f>
        <v>-1.9163763066202044E-2</v>
      </c>
      <c r="D3">
        <v>128455.67999999999</v>
      </c>
      <c r="E3">
        <f t="shared" ref="E3:E13" si="1">D3/D4-1</f>
        <v>7.0056219409053488E-2</v>
      </c>
      <c r="H3">
        <v>10.53</v>
      </c>
    </row>
    <row r="4" spans="1:8" x14ac:dyDescent="0.25">
      <c r="A4" t="s">
        <v>20</v>
      </c>
      <c r="B4">
        <v>2870</v>
      </c>
      <c r="C4">
        <f t="shared" si="0"/>
        <v>-6.514657980456029E-2</v>
      </c>
      <c r="D4">
        <v>120045.73</v>
      </c>
      <c r="E4">
        <f t="shared" si="1"/>
        <v>3.6375438694636664E-2</v>
      </c>
      <c r="H4">
        <v>10.375</v>
      </c>
    </row>
    <row r="5" spans="1:8" x14ac:dyDescent="0.25">
      <c r="A5" t="s">
        <v>21</v>
      </c>
      <c r="B5">
        <v>3070</v>
      </c>
      <c r="C5">
        <f t="shared" si="0"/>
        <v>1.655629139072845E-2</v>
      </c>
      <c r="D5">
        <v>115832.28</v>
      </c>
      <c r="E5">
        <f t="shared" si="1"/>
        <v>4.3924256012450202E-2</v>
      </c>
      <c r="H5">
        <v>9.0350000000000001</v>
      </c>
    </row>
    <row r="6" spans="1:8" x14ac:dyDescent="0.25">
      <c r="A6" t="s">
        <v>22</v>
      </c>
      <c r="B6">
        <v>3020</v>
      </c>
      <c r="C6">
        <f t="shared" si="0"/>
        <v>0.18664047151277008</v>
      </c>
      <c r="D6">
        <v>110958.51</v>
      </c>
      <c r="E6">
        <f t="shared" si="1"/>
        <v>1.5698408217381443E-2</v>
      </c>
      <c r="H6">
        <v>8.9030000000000005</v>
      </c>
    </row>
    <row r="7" spans="1:8" x14ac:dyDescent="0.25">
      <c r="A7" t="s">
        <v>23</v>
      </c>
      <c r="B7">
        <v>2545</v>
      </c>
      <c r="C7">
        <f t="shared" si="0"/>
        <v>-1.4711575687185396E-2</v>
      </c>
      <c r="D7">
        <v>109243.56</v>
      </c>
      <c r="E7">
        <f t="shared" si="1"/>
        <v>1.2072208683896912E-2</v>
      </c>
      <c r="H7">
        <v>9.2949999999999999</v>
      </c>
    </row>
    <row r="8" spans="1:8" x14ac:dyDescent="0.25">
      <c r="A8" t="s">
        <v>24</v>
      </c>
      <c r="B8">
        <v>2583</v>
      </c>
      <c r="C8">
        <f t="shared" si="0"/>
        <v>6.2962962962962887E-2</v>
      </c>
      <c r="D8">
        <v>107940.48</v>
      </c>
      <c r="E8">
        <f t="shared" si="1"/>
        <v>5.9948491485147803E-2</v>
      </c>
      <c r="H8">
        <v>8.8249999999999993</v>
      </c>
    </row>
    <row r="9" spans="1:8" x14ac:dyDescent="0.25">
      <c r="A9" t="s">
        <v>25</v>
      </c>
      <c r="B9">
        <v>2430</v>
      </c>
      <c r="C9">
        <f t="shared" si="0"/>
        <v>4.5161290322580649E-2</v>
      </c>
      <c r="D9">
        <v>101835.59</v>
      </c>
      <c r="E9">
        <f t="shared" si="1"/>
        <v>3.365911990427084E-2</v>
      </c>
      <c r="H9">
        <v>9.1999999999999993</v>
      </c>
    </row>
    <row r="10" spans="1:8" x14ac:dyDescent="0.25">
      <c r="A10" t="s">
        <v>26</v>
      </c>
      <c r="B10">
        <v>2325</v>
      </c>
      <c r="C10">
        <f t="shared" si="0"/>
        <v>-9.5682613768961478E-2</v>
      </c>
      <c r="D10">
        <v>98519.51</v>
      </c>
      <c r="E10">
        <f t="shared" si="1"/>
        <v>2.1671426263308202E-2</v>
      </c>
      <c r="H10">
        <v>9.4049999999999994</v>
      </c>
    </row>
    <row r="11" spans="1:8" x14ac:dyDescent="0.25">
      <c r="A11" t="s">
        <v>27</v>
      </c>
      <c r="B11">
        <v>2571</v>
      </c>
      <c r="C11">
        <f t="shared" si="0"/>
        <v>3.5024154589371914E-2</v>
      </c>
      <c r="D11">
        <v>96429.74</v>
      </c>
      <c r="E11">
        <f t="shared" si="1"/>
        <v>2.2250411424302063E-2</v>
      </c>
      <c r="H11">
        <v>10.214</v>
      </c>
    </row>
    <row r="12" spans="1:8" x14ac:dyDescent="0.25">
      <c r="A12" t="s">
        <v>28</v>
      </c>
      <c r="B12">
        <v>2484</v>
      </c>
      <c r="C12">
        <f t="shared" si="0"/>
        <v>0.23214285714285721</v>
      </c>
      <c r="D12">
        <v>94330.84</v>
      </c>
      <c r="E12">
        <f t="shared" si="1"/>
        <v>2.9999435487155335E-2</v>
      </c>
      <c r="H12">
        <v>10.957000000000001</v>
      </c>
    </row>
    <row r="13" spans="1:8" x14ac:dyDescent="0.25">
      <c r="A13" t="s">
        <v>29</v>
      </c>
      <c r="B13">
        <v>2016</v>
      </c>
      <c r="C13">
        <f t="shared" si="0"/>
        <v>7.922912205567445E-2</v>
      </c>
      <c r="D13">
        <v>91583.39</v>
      </c>
      <c r="E13">
        <f t="shared" si="1"/>
        <v>3.3235838801770612E-2</v>
      </c>
      <c r="H13">
        <v>10.942</v>
      </c>
    </row>
    <row r="14" spans="1:8" x14ac:dyDescent="0.25">
      <c r="A14" t="s">
        <v>18</v>
      </c>
      <c r="B14">
        <v>1868</v>
      </c>
      <c r="D14">
        <v>88637.45</v>
      </c>
      <c r="H14">
        <v>10.615</v>
      </c>
    </row>
    <row r="16" spans="1:8" x14ac:dyDescent="0.25">
      <c r="B16" t="s">
        <v>32</v>
      </c>
    </row>
    <row r="17" spans="2:10" ht="15.75" thickBot="1" x14ac:dyDescent="0.3"/>
    <row r="18" spans="2:10" x14ac:dyDescent="0.25">
      <c r="B18" s="7" t="s">
        <v>33</v>
      </c>
      <c r="C18" s="7"/>
      <c r="H18" s="8" t="s">
        <v>66</v>
      </c>
      <c r="I18" s="8">
        <f>AVERAGE(H2:H14)</f>
        <v>9.915461538461539</v>
      </c>
    </row>
    <row r="19" spans="2:10" x14ac:dyDescent="0.25">
      <c r="B19" s="4" t="s">
        <v>34</v>
      </c>
      <c r="C19" s="4">
        <v>0.13517061651882256</v>
      </c>
      <c r="H19" s="8" t="s">
        <v>60</v>
      </c>
      <c r="I19" s="8">
        <f>C33</f>
        <v>0.2844069139377241</v>
      </c>
    </row>
    <row r="20" spans="2:10" x14ac:dyDescent="0.25">
      <c r="B20" s="4" t="s">
        <v>35</v>
      </c>
      <c r="C20" s="4">
        <v>1.8271095570078586E-2</v>
      </c>
      <c r="H20" s="8" t="s">
        <v>59</v>
      </c>
      <c r="I20" s="8">
        <f>(1+AVERAGE(E2:E13))^(12)-1</f>
        <v>0.30207393787683978</v>
      </c>
    </row>
    <row r="21" spans="2:10" x14ac:dyDescent="0.25">
      <c r="B21" s="4" t="s">
        <v>36</v>
      </c>
      <c r="C21" s="4">
        <v>-7.9901794872913559E-2</v>
      </c>
      <c r="H21" s="8" t="s">
        <v>71</v>
      </c>
      <c r="I21" s="8">
        <f>I18+I19*(I20-I18)</f>
        <v>7.1813476384920625</v>
      </c>
    </row>
    <row r="22" spans="2:10" x14ac:dyDescent="0.25">
      <c r="B22" s="4" t="s">
        <v>37</v>
      </c>
      <c r="C22" s="4">
        <v>9.9674074443563548E-2</v>
      </c>
    </row>
    <row r="23" spans="2:10" ht="15.75" thickBot="1" x14ac:dyDescent="0.3">
      <c r="B23" s="5" t="s">
        <v>38</v>
      </c>
      <c r="C23" s="5">
        <v>12</v>
      </c>
    </row>
    <row r="25" spans="2:10" ht="15.75" thickBot="1" x14ac:dyDescent="0.3">
      <c r="B25" t="s">
        <v>39</v>
      </c>
    </row>
    <row r="26" spans="2:10" x14ac:dyDescent="0.25">
      <c r="B26" s="6"/>
      <c r="C26" s="6" t="s">
        <v>44</v>
      </c>
      <c r="D26" s="6" t="s">
        <v>45</v>
      </c>
      <c r="E26" s="6" t="s">
        <v>46</v>
      </c>
      <c r="F26" s="6" t="s">
        <v>47</v>
      </c>
      <c r="G26" s="6" t="s">
        <v>48</v>
      </c>
    </row>
    <row r="27" spans="2:10" x14ac:dyDescent="0.25">
      <c r="B27" s="4" t="s">
        <v>40</v>
      </c>
      <c r="C27" s="4">
        <v>1</v>
      </c>
      <c r="D27" s="4">
        <v>1.8490022283732532E-3</v>
      </c>
      <c r="E27" s="4">
        <v>1.8490022283732532E-3</v>
      </c>
      <c r="F27" s="4">
        <v>0.18611141515374247</v>
      </c>
      <c r="G27" s="4">
        <v>0.6753252113748327</v>
      </c>
    </row>
    <row r="28" spans="2:10" x14ac:dyDescent="0.25">
      <c r="B28" s="4" t="s">
        <v>41</v>
      </c>
      <c r="C28" s="4">
        <v>10</v>
      </c>
      <c r="D28" s="4">
        <v>9.9349211161810475E-2</v>
      </c>
      <c r="E28" s="4">
        <v>9.9349211161810468E-3</v>
      </c>
      <c r="F28" s="4"/>
      <c r="G28" s="4"/>
    </row>
    <row r="29" spans="2:10" ht="15.75" thickBot="1" x14ac:dyDescent="0.3">
      <c r="B29" s="5" t="s">
        <v>42</v>
      </c>
      <c r="C29" s="5">
        <v>11</v>
      </c>
      <c r="D29" s="5">
        <v>0.10119821339018373</v>
      </c>
      <c r="E29" s="5"/>
      <c r="F29" s="5"/>
      <c r="G29" s="5"/>
    </row>
    <row r="30" spans="2:10" ht="15.75" thickBot="1" x14ac:dyDescent="0.3"/>
    <row r="31" spans="2:10" x14ac:dyDescent="0.25">
      <c r="B31" s="6"/>
      <c r="C31" s="6" t="s">
        <v>49</v>
      </c>
      <c r="D31" s="6" t="s">
        <v>37</v>
      </c>
      <c r="E31" s="6" t="s">
        <v>50</v>
      </c>
      <c r="F31" s="6" t="s">
        <v>51</v>
      </c>
      <c r="G31" s="6" t="s">
        <v>52</v>
      </c>
      <c r="H31" s="6" t="s">
        <v>53</v>
      </c>
      <c r="I31" s="6" t="s">
        <v>54</v>
      </c>
      <c r="J31" s="6" t="s">
        <v>55</v>
      </c>
    </row>
    <row r="32" spans="2:10" x14ac:dyDescent="0.25">
      <c r="B32" s="4" t="s">
        <v>43</v>
      </c>
      <c r="C32" s="4">
        <v>3.0127669554413396E-2</v>
      </c>
      <c r="D32" s="4">
        <v>3.2293716647941416E-2</v>
      </c>
      <c r="E32" s="4">
        <v>0.93292667062321255</v>
      </c>
      <c r="F32" s="4">
        <v>0.37283522600095731</v>
      </c>
      <c r="G32" s="4">
        <v>-4.1827215183900826E-2</v>
      </c>
      <c r="H32" s="4">
        <v>0.10208255429272763</v>
      </c>
      <c r="I32" s="4">
        <v>-4.1827215183900826E-2</v>
      </c>
      <c r="J32" s="4">
        <v>0.10208255429272763</v>
      </c>
    </row>
    <row r="33" spans="2:10" ht="15.75" thickBot="1" x14ac:dyDescent="0.3">
      <c r="B33" s="5" t="s">
        <v>56</v>
      </c>
      <c r="C33" s="5">
        <v>0.2844069139377241</v>
      </c>
      <c r="D33" s="5">
        <v>0.65925532162615275</v>
      </c>
      <c r="E33" s="5">
        <v>0.43140632257042921</v>
      </c>
      <c r="F33" s="5">
        <v>0.67532521137483359</v>
      </c>
      <c r="G33" s="5">
        <v>-1.1845054815562139</v>
      </c>
      <c r="H33" s="5">
        <v>1.7533193094316621</v>
      </c>
      <c r="I33" s="5">
        <v>-1.1845054815562139</v>
      </c>
      <c r="J33" s="5">
        <v>1.7533193094316621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3157-F8AE-4125-BA4A-34DDC1834273}">
  <dimension ref="A1:J33"/>
  <sheetViews>
    <sheetView workbookViewId="0">
      <selection activeCell="I18" sqref="I18:J21"/>
    </sheetView>
  </sheetViews>
  <sheetFormatPr defaultRowHeight="15" x14ac:dyDescent="0.25"/>
  <cols>
    <col min="1" max="1" width="10.42578125" bestFit="1" customWidth="1"/>
    <col min="9" max="9" width="11.5703125" customWidth="1"/>
  </cols>
  <sheetData>
    <row r="1" spans="1:9" x14ac:dyDescent="0.25">
      <c r="A1" t="s">
        <v>3</v>
      </c>
      <c r="B1" t="s">
        <v>0</v>
      </c>
      <c r="C1" t="s">
        <v>4</v>
      </c>
      <c r="D1" t="s">
        <v>30</v>
      </c>
      <c r="E1" t="s">
        <v>63</v>
      </c>
      <c r="H1" t="s">
        <v>64</v>
      </c>
      <c r="I1" t="s">
        <v>69</v>
      </c>
    </row>
    <row r="2" spans="1:9" x14ac:dyDescent="0.25">
      <c r="A2" s="2">
        <v>45352</v>
      </c>
      <c r="B2">
        <v>1868</v>
      </c>
      <c r="C2">
        <f>B2/B3-1</f>
        <v>-7.7075098814229248E-2</v>
      </c>
      <c r="D2">
        <v>74535.990000000005</v>
      </c>
      <c r="E2">
        <f>(D2/D3)-1</f>
        <v>2.4835235879467898E-2</v>
      </c>
      <c r="I2">
        <v>10.615</v>
      </c>
    </row>
    <row r="3" spans="1:9" x14ac:dyDescent="0.25">
      <c r="A3" s="2">
        <v>45323</v>
      </c>
      <c r="B3">
        <v>2024</v>
      </c>
      <c r="C3">
        <f t="shared" ref="C3:C13" si="0">B3/B4-1</f>
        <v>-0.13504273504273501</v>
      </c>
      <c r="D3">
        <v>72729.73</v>
      </c>
      <c r="E3">
        <f>(D3/D4)-1</f>
        <v>-2.4493577769262198E-2</v>
      </c>
      <c r="I3">
        <v>10.130000000000001</v>
      </c>
    </row>
    <row r="4" spans="1:9" x14ac:dyDescent="0.25">
      <c r="A4" s="2">
        <v>45292</v>
      </c>
      <c r="B4">
        <v>2340</v>
      </c>
      <c r="C4">
        <f t="shared" si="0"/>
        <v>5.5865921787709993E-3</v>
      </c>
      <c r="D4">
        <v>74555.87</v>
      </c>
      <c r="E4">
        <f>(D4/D5)-1</f>
        <v>-3.0396465744998102E-2</v>
      </c>
      <c r="I4">
        <v>9.75</v>
      </c>
    </row>
    <row r="5" spans="1:9" x14ac:dyDescent="0.25">
      <c r="A5" s="2">
        <v>45261</v>
      </c>
      <c r="B5">
        <v>2327</v>
      </c>
      <c r="C5">
        <f t="shared" si="0"/>
        <v>-2.2268907563025242E-2</v>
      </c>
      <c r="D5">
        <v>76893.149999999994</v>
      </c>
      <c r="E5">
        <f t="shared" ref="E3:E13" si="1">D5/D6-1</f>
        <v>1.7989031746611595E-2</v>
      </c>
      <c r="I5">
        <v>9.77</v>
      </c>
    </row>
    <row r="6" spans="1:9" x14ac:dyDescent="0.25">
      <c r="A6" s="2">
        <v>45231</v>
      </c>
      <c r="B6">
        <v>2380</v>
      </c>
      <c r="C6">
        <f t="shared" si="0"/>
        <v>-4.8000000000000043E-2</v>
      </c>
      <c r="D6">
        <v>75534.36</v>
      </c>
      <c r="E6">
        <f t="shared" si="1"/>
        <v>8.4431149416310136E-2</v>
      </c>
      <c r="I6">
        <v>9.98</v>
      </c>
    </row>
    <row r="7" spans="1:9" x14ac:dyDescent="0.25">
      <c r="A7" s="2">
        <v>45200</v>
      </c>
      <c r="B7">
        <v>2500</v>
      </c>
      <c r="C7">
        <f t="shared" si="0"/>
        <v>-0.32432432432432434</v>
      </c>
      <c r="D7">
        <v>69653.440000000002</v>
      </c>
      <c r="E7">
        <f t="shared" si="1"/>
        <v>-3.770849713240243E-2</v>
      </c>
      <c r="I7">
        <v>10.675000000000001</v>
      </c>
    </row>
    <row r="8" spans="1:9" x14ac:dyDescent="0.25">
      <c r="A8" s="2">
        <v>45170</v>
      </c>
      <c r="B8">
        <v>3700</v>
      </c>
      <c r="C8">
        <f t="shared" si="0"/>
        <v>6.1692969870875247E-2</v>
      </c>
      <c r="D8">
        <v>72382.89</v>
      </c>
      <c r="E8">
        <f t="shared" si="1"/>
        <v>-3.4299026879649586E-2</v>
      </c>
      <c r="I8">
        <v>10.81</v>
      </c>
    </row>
    <row r="9" spans="1:9" x14ac:dyDescent="0.25">
      <c r="A9" s="2">
        <v>45139</v>
      </c>
      <c r="B9">
        <v>3485</v>
      </c>
      <c r="C9">
        <f t="shared" si="0"/>
        <v>-9.4570018186541982E-2</v>
      </c>
      <c r="D9">
        <v>74953.73</v>
      </c>
      <c r="E9">
        <f t="shared" si="1"/>
        <v>-5.0952994565947596E-2</v>
      </c>
      <c r="I9">
        <v>10.275</v>
      </c>
    </row>
    <row r="10" spans="1:9" x14ac:dyDescent="0.25">
      <c r="A10" s="2">
        <v>45108</v>
      </c>
      <c r="B10">
        <v>3849</v>
      </c>
      <c r="C10">
        <f t="shared" si="0"/>
        <v>-1.0030864197530853E-2</v>
      </c>
      <c r="D10">
        <v>78977.89</v>
      </c>
      <c r="E10">
        <f t="shared" si="1"/>
        <v>3.8802370132094977E-2</v>
      </c>
      <c r="I10">
        <v>10.215</v>
      </c>
    </row>
    <row r="11" spans="1:9" x14ac:dyDescent="0.25">
      <c r="A11" s="2">
        <v>45078</v>
      </c>
      <c r="B11">
        <v>3888</v>
      </c>
      <c r="C11">
        <f t="shared" si="0"/>
        <v>0.22921277268416063</v>
      </c>
      <c r="D11">
        <v>76027.83</v>
      </c>
      <c r="E11">
        <f t="shared" si="1"/>
        <v>1.2793291155276831E-2</v>
      </c>
      <c r="I11">
        <v>10.51</v>
      </c>
    </row>
    <row r="12" spans="1:9" x14ac:dyDescent="0.25">
      <c r="A12" s="2">
        <v>45047</v>
      </c>
      <c r="B12">
        <v>3163</v>
      </c>
      <c r="C12">
        <f t="shared" si="0"/>
        <v>-0.27153385536619068</v>
      </c>
      <c r="D12">
        <v>75067.47</v>
      </c>
      <c r="E12">
        <f t="shared" si="1"/>
        <v>-4.0283375887275485E-2</v>
      </c>
      <c r="I12">
        <v>11.3</v>
      </c>
    </row>
    <row r="13" spans="1:9" x14ac:dyDescent="0.25">
      <c r="A13" s="2">
        <v>45017</v>
      </c>
      <c r="B13">
        <v>4342</v>
      </c>
      <c r="C13">
        <f t="shared" si="0"/>
        <v>2.7206056304707849E-2</v>
      </c>
      <c r="D13">
        <v>78218.37</v>
      </c>
      <c r="E13">
        <f t="shared" si="1"/>
        <v>2.7834366204438243E-2</v>
      </c>
      <c r="I13">
        <v>10.18</v>
      </c>
    </row>
    <row r="14" spans="1:9" x14ac:dyDescent="0.25">
      <c r="A14" s="2">
        <v>44986</v>
      </c>
      <c r="B14">
        <v>4227</v>
      </c>
      <c r="D14">
        <v>76100.17</v>
      </c>
      <c r="I14">
        <v>9.83</v>
      </c>
    </row>
    <row r="16" spans="1:9" x14ac:dyDescent="0.25">
      <c r="B16" t="s">
        <v>32</v>
      </c>
    </row>
    <row r="17" spans="2:10" ht="15.75" thickBot="1" x14ac:dyDescent="0.3"/>
    <row r="18" spans="2:10" x14ac:dyDescent="0.25">
      <c r="B18" s="7" t="s">
        <v>33</v>
      </c>
      <c r="C18" s="7"/>
      <c r="I18" s="8" t="s">
        <v>66</v>
      </c>
      <c r="J18" s="8">
        <f>AVERAGE(I2:I14)</f>
        <v>10.310769230769232</v>
      </c>
    </row>
    <row r="19" spans="2:10" x14ac:dyDescent="0.25">
      <c r="B19" s="4" t="s">
        <v>34</v>
      </c>
      <c r="C19" s="4">
        <v>0.37970246262218732</v>
      </c>
      <c r="I19" s="8" t="s">
        <v>60</v>
      </c>
      <c r="J19" s="8">
        <f>C33</f>
        <v>1.3433228042801304</v>
      </c>
    </row>
    <row r="20" spans="2:10" x14ac:dyDescent="0.25">
      <c r="B20" s="4" t="s">
        <v>35</v>
      </c>
      <c r="C20" s="4">
        <v>0.14417396012135356</v>
      </c>
      <c r="I20" s="8" t="s">
        <v>59</v>
      </c>
      <c r="J20" s="8">
        <f>(1+AVERAGE(E2:E13))^(12)-1</f>
        <v>-1.1388611241396451E-2</v>
      </c>
    </row>
    <row r="21" spans="2:10" x14ac:dyDescent="0.25">
      <c r="B21" s="4" t="s">
        <v>36</v>
      </c>
      <c r="C21" s="4">
        <v>5.8591356133488912E-2</v>
      </c>
      <c r="I21" s="8" t="s">
        <v>71</v>
      </c>
      <c r="J21" s="8">
        <f>J18+J19*(J20-J18)</f>
        <v>-3.5552207877826252</v>
      </c>
    </row>
    <row r="22" spans="2:10" x14ac:dyDescent="0.25">
      <c r="B22" s="4" t="s">
        <v>37</v>
      </c>
      <c r="C22" s="4">
        <v>0.14207200857023289</v>
      </c>
    </row>
    <row r="23" spans="2:10" ht="15.75" thickBot="1" x14ac:dyDescent="0.3">
      <c r="B23" s="5" t="s">
        <v>38</v>
      </c>
      <c r="C23" s="5">
        <v>12</v>
      </c>
    </row>
    <row r="25" spans="2:10" ht="15.75" thickBot="1" x14ac:dyDescent="0.3">
      <c r="B25" t="s">
        <v>39</v>
      </c>
    </row>
    <row r="26" spans="2:10" x14ac:dyDescent="0.25">
      <c r="B26" s="6"/>
      <c r="C26" s="6" t="s">
        <v>44</v>
      </c>
      <c r="D26" s="6" t="s">
        <v>45</v>
      </c>
      <c r="E26" s="6" t="s">
        <v>46</v>
      </c>
      <c r="F26" s="6" t="s">
        <v>47</v>
      </c>
      <c r="G26" s="6" t="s">
        <v>48</v>
      </c>
    </row>
    <row r="27" spans="2:10" x14ac:dyDescent="0.25">
      <c r="B27" s="4" t="s">
        <v>40</v>
      </c>
      <c r="C27" s="4">
        <v>1</v>
      </c>
      <c r="D27" s="4">
        <v>3.4003088991351266E-2</v>
      </c>
      <c r="E27" s="4">
        <v>3.4003088991351266E-2</v>
      </c>
      <c r="F27" s="4">
        <v>1.6846175905303953</v>
      </c>
      <c r="G27" s="4">
        <v>0.22344976130280961</v>
      </c>
    </row>
    <row r="28" spans="2:10" x14ac:dyDescent="0.25">
      <c r="B28" s="4" t="s">
        <v>41</v>
      </c>
      <c r="C28" s="4">
        <v>10</v>
      </c>
      <c r="D28" s="4">
        <v>0.20184455619180328</v>
      </c>
      <c r="E28" s="4">
        <v>2.0184455619180329E-2</v>
      </c>
      <c r="F28" s="4"/>
      <c r="G28" s="4"/>
    </row>
    <row r="29" spans="2:10" ht="15.75" thickBot="1" x14ac:dyDescent="0.3">
      <c r="B29" s="5" t="s">
        <v>42</v>
      </c>
      <c r="C29" s="5">
        <v>11</v>
      </c>
      <c r="D29" s="5">
        <v>0.23584764518315454</v>
      </c>
      <c r="E29" s="5"/>
      <c r="F29" s="5"/>
      <c r="G29" s="5"/>
    </row>
    <row r="30" spans="2:10" ht="15.75" thickBot="1" x14ac:dyDescent="0.3"/>
    <row r="31" spans="2:10" x14ac:dyDescent="0.25">
      <c r="B31" s="6"/>
      <c r="C31" s="6" t="s">
        <v>49</v>
      </c>
      <c r="D31" s="6" t="s">
        <v>37</v>
      </c>
      <c r="E31" s="6" t="s">
        <v>50</v>
      </c>
      <c r="F31" s="6" t="s">
        <v>51</v>
      </c>
      <c r="G31" s="6" t="s">
        <v>52</v>
      </c>
      <c r="H31" s="6" t="s">
        <v>53</v>
      </c>
      <c r="I31" s="6" t="s">
        <v>54</v>
      </c>
      <c r="J31" s="6" t="s">
        <v>55</v>
      </c>
    </row>
    <row r="32" spans="2:10" x14ac:dyDescent="0.25">
      <c r="B32" s="4" t="s">
        <v>43</v>
      </c>
      <c r="C32" s="4">
        <v>-5.3647365844690965E-2</v>
      </c>
      <c r="D32" s="4">
        <v>4.1024540748249759E-2</v>
      </c>
      <c r="E32" s="4">
        <v>-1.3076896137339389</v>
      </c>
      <c r="F32" s="4">
        <v>0.22024244415588504</v>
      </c>
      <c r="G32" s="4">
        <v>-0.14505573897076032</v>
      </c>
      <c r="H32" s="4">
        <v>3.7761007281378385E-2</v>
      </c>
      <c r="I32" s="4">
        <v>-0.14505573897076032</v>
      </c>
      <c r="J32" s="4">
        <v>3.7761007281378385E-2</v>
      </c>
    </row>
    <row r="33" spans="2:10" ht="15.75" thickBot="1" x14ac:dyDescent="0.3">
      <c r="B33" s="5" t="s">
        <v>56</v>
      </c>
      <c r="C33" s="5">
        <v>1.3433228042801304</v>
      </c>
      <c r="D33" s="5">
        <v>1.0349746719285033</v>
      </c>
      <c r="E33" s="5">
        <v>1.2979281915924294</v>
      </c>
      <c r="F33" s="5">
        <v>0.22344976130280983</v>
      </c>
      <c r="G33" s="5">
        <v>-0.96274447306551614</v>
      </c>
      <c r="H33" s="5">
        <v>3.6493900816257767</v>
      </c>
      <c r="I33" s="5">
        <v>-0.96274447306551614</v>
      </c>
      <c r="J33" s="5">
        <v>3.6493900816257767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45C8-D614-44B8-9DDB-1A738BC4C755}">
  <dimension ref="A1:J33"/>
  <sheetViews>
    <sheetView workbookViewId="0">
      <selection activeCell="I18" sqref="I18:J21"/>
    </sheetView>
  </sheetViews>
  <sheetFormatPr defaultRowHeight="15" x14ac:dyDescent="0.25"/>
  <cols>
    <col min="1" max="1" width="10.42578125" bestFit="1" customWidth="1"/>
    <col min="5" max="5" width="14.42578125" customWidth="1"/>
    <col min="9" max="9" width="11.28515625" customWidth="1"/>
  </cols>
  <sheetData>
    <row r="1" spans="1:8" x14ac:dyDescent="0.25">
      <c r="A1" t="s">
        <v>3</v>
      </c>
      <c r="B1" t="s">
        <v>0</v>
      </c>
      <c r="C1" t="s">
        <v>4</v>
      </c>
      <c r="D1" t="s">
        <v>30</v>
      </c>
      <c r="E1" t="s">
        <v>65</v>
      </c>
      <c r="H1" t="s">
        <v>70</v>
      </c>
    </row>
    <row r="2" spans="1:8" x14ac:dyDescent="0.25">
      <c r="A2" s="2">
        <v>44986</v>
      </c>
      <c r="B2">
        <v>4227</v>
      </c>
      <c r="C2">
        <f>B2/B3-1</f>
        <v>-7.8482668410725931E-2</v>
      </c>
      <c r="D2">
        <v>76100.17</v>
      </c>
      <c r="E2">
        <f>D2/D3-1</f>
        <v>-2.101657874488938E-2</v>
      </c>
      <c r="H2">
        <v>9.83</v>
      </c>
    </row>
    <row r="3" spans="1:8" x14ac:dyDescent="0.25">
      <c r="A3" s="2">
        <v>44958</v>
      </c>
      <c r="B3">
        <v>4587</v>
      </c>
      <c r="C3">
        <f t="shared" ref="C3:C14" si="0">B3/B4-1</f>
        <v>-0.17795698924731185</v>
      </c>
      <c r="D3">
        <v>77733.87</v>
      </c>
      <c r="E3">
        <f t="shared" ref="E3:E13" si="1">D3/D4-1</f>
        <v>-2.1927586232929119E-2</v>
      </c>
      <c r="H3">
        <v>10.11</v>
      </c>
    </row>
    <row r="4" spans="1:8" x14ac:dyDescent="0.25">
      <c r="A4" s="2">
        <v>44927</v>
      </c>
      <c r="B4">
        <v>5580</v>
      </c>
      <c r="C4">
        <f t="shared" si="0"/>
        <v>-1.7432646592709933E-2</v>
      </c>
      <c r="D4">
        <v>79476.600000000006</v>
      </c>
      <c r="E4">
        <f t="shared" si="1"/>
        <v>8.7996657566328684E-2</v>
      </c>
      <c r="H4">
        <v>9.6750000000000007</v>
      </c>
    </row>
    <row r="5" spans="1:8" x14ac:dyDescent="0.25">
      <c r="A5" s="2">
        <v>44896</v>
      </c>
      <c r="B5">
        <v>5679</v>
      </c>
      <c r="C5">
        <f t="shared" si="0"/>
        <v>-8.7417644223043545E-2</v>
      </c>
      <c r="D5">
        <v>73048.570000000007</v>
      </c>
      <c r="E5">
        <f t="shared" si="1"/>
        <v>-2.378026941786493E-2</v>
      </c>
      <c r="H5">
        <v>10.185</v>
      </c>
    </row>
    <row r="6" spans="1:8" x14ac:dyDescent="0.25">
      <c r="A6" s="2">
        <v>44866</v>
      </c>
      <c r="B6">
        <v>6223</v>
      </c>
      <c r="C6">
        <f t="shared" si="0"/>
        <v>5.4031165311653195E-2</v>
      </c>
      <c r="D6">
        <v>74828</v>
      </c>
      <c r="E6">
        <f t="shared" si="1"/>
        <v>0.12233610537612316</v>
      </c>
      <c r="H6">
        <v>10.285</v>
      </c>
    </row>
    <row r="7" spans="1:8" x14ac:dyDescent="0.25">
      <c r="A7" s="2">
        <v>44835</v>
      </c>
      <c r="B7">
        <v>5904</v>
      </c>
      <c r="C7">
        <f t="shared" si="0"/>
        <v>6.4167267483777879E-2</v>
      </c>
      <c r="D7">
        <v>66671.649999999994</v>
      </c>
      <c r="E7">
        <f t="shared" si="1"/>
        <v>4.6217601912677431E-2</v>
      </c>
      <c r="H7">
        <v>10.86</v>
      </c>
    </row>
    <row r="8" spans="1:8" x14ac:dyDescent="0.25">
      <c r="A8" s="2">
        <v>44805</v>
      </c>
      <c r="B8">
        <v>5548</v>
      </c>
      <c r="C8">
        <f t="shared" si="0"/>
        <v>-0.10241061316939004</v>
      </c>
      <c r="D8">
        <v>63726.37</v>
      </c>
      <c r="E8">
        <f t="shared" si="1"/>
        <v>-5.2496582518971158E-2</v>
      </c>
      <c r="H8">
        <v>10.89</v>
      </c>
    </row>
    <row r="9" spans="1:8" x14ac:dyDescent="0.25">
      <c r="A9" s="2">
        <v>44774</v>
      </c>
      <c r="B9">
        <v>6181</v>
      </c>
      <c r="C9">
        <f t="shared" si="0"/>
        <v>0.12137155297532654</v>
      </c>
      <c r="D9">
        <v>67257.14</v>
      </c>
      <c r="E9">
        <f t="shared" si="1"/>
        <v>-2.4325728330616414E-2</v>
      </c>
      <c r="H9">
        <v>10.44</v>
      </c>
    </row>
    <row r="10" spans="1:8" x14ac:dyDescent="0.25">
      <c r="A10" s="2">
        <v>44743</v>
      </c>
      <c r="B10">
        <v>5512</v>
      </c>
      <c r="C10">
        <f t="shared" si="0"/>
        <v>-1.939156733677283E-2</v>
      </c>
      <c r="D10">
        <v>68934.009999999995</v>
      </c>
      <c r="E10">
        <f t="shared" si="1"/>
        <v>4.0932716893794518E-2</v>
      </c>
      <c r="H10">
        <v>10.36</v>
      </c>
    </row>
    <row r="11" spans="1:8" x14ac:dyDescent="0.25">
      <c r="A11" s="2">
        <v>44713</v>
      </c>
      <c r="B11">
        <v>5621</v>
      </c>
      <c r="C11">
        <f t="shared" si="0"/>
        <v>2.1814215597164122E-2</v>
      </c>
      <c r="D11">
        <v>66223.31</v>
      </c>
      <c r="E11">
        <f t="shared" si="1"/>
        <v>-8.1442133122647919E-2</v>
      </c>
      <c r="H11">
        <v>10.555</v>
      </c>
    </row>
    <row r="12" spans="1:8" x14ac:dyDescent="0.25">
      <c r="A12" s="2">
        <v>44682</v>
      </c>
      <c r="B12">
        <v>5501</v>
      </c>
      <c r="C12">
        <f t="shared" si="0"/>
        <v>-4.4467604655202386E-2</v>
      </c>
      <c r="D12">
        <v>72094.87</v>
      </c>
      <c r="E12">
        <f t="shared" si="1"/>
        <v>-4.7403133013291798E-3</v>
      </c>
      <c r="H12">
        <v>9.8350000000000009</v>
      </c>
    </row>
    <row r="13" spans="1:8" x14ac:dyDescent="0.25">
      <c r="A13" s="2">
        <v>44652</v>
      </c>
      <c r="B13">
        <v>5757</v>
      </c>
      <c r="C13">
        <f t="shared" si="0"/>
        <v>7.0870535714285809E-2</v>
      </c>
      <c r="D13">
        <v>72438.25</v>
      </c>
      <c r="E13">
        <f t="shared" si="1"/>
        <v>-4.0516761228735043E-2</v>
      </c>
      <c r="H13">
        <v>9.9550000000000001</v>
      </c>
    </row>
    <row r="14" spans="1:8" x14ac:dyDescent="0.25">
      <c r="A14" s="2">
        <v>44621</v>
      </c>
      <c r="B14">
        <v>5376</v>
      </c>
      <c r="D14">
        <v>75497.149999999994</v>
      </c>
      <c r="H14">
        <v>9.6</v>
      </c>
    </row>
    <row r="16" spans="1:8" x14ac:dyDescent="0.25">
      <c r="B16" t="s">
        <v>32</v>
      </c>
    </row>
    <row r="17" spans="2:10" ht="15.75" thickBot="1" x14ac:dyDescent="0.3"/>
    <row r="18" spans="2:10" x14ac:dyDescent="0.25">
      <c r="B18" s="7" t="s">
        <v>33</v>
      </c>
      <c r="C18" s="7"/>
      <c r="I18" s="8" t="s">
        <v>66</v>
      </c>
      <c r="J18" s="8">
        <f>AVERAGE(H2:H14)</f>
        <v>10.19846153846154</v>
      </c>
    </row>
    <row r="19" spans="2:10" x14ac:dyDescent="0.25">
      <c r="B19" s="4" t="s">
        <v>34</v>
      </c>
      <c r="C19" s="4">
        <v>0.23256908777555316</v>
      </c>
      <c r="I19" s="8" t="s">
        <v>60</v>
      </c>
      <c r="J19" s="8">
        <f>C33</f>
        <v>0.33613199514679221</v>
      </c>
    </row>
    <row r="20" spans="2:10" x14ac:dyDescent="0.25">
      <c r="B20" s="4" t="s">
        <v>35</v>
      </c>
      <c r="C20" s="4">
        <v>5.4088380588752955E-2</v>
      </c>
      <c r="I20" s="8" t="s">
        <v>59</v>
      </c>
      <c r="J20" s="8">
        <f>(1+AVERAGE(E2:E13))^(12)-1</f>
        <v>2.7579734292485947E-2</v>
      </c>
    </row>
    <row r="21" spans="2:10" x14ac:dyDescent="0.25">
      <c r="B21" s="4" t="s">
        <v>36</v>
      </c>
      <c r="C21" s="4">
        <v>-4.0502781352371751E-2</v>
      </c>
      <c r="I21" s="8" t="s">
        <v>71</v>
      </c>
      <c r="J21" s="8">
        <f>J18+J19*(J20-J18)</f>
        <v>6.7797027452239904</v>
      </c>
    </row>
    <row r="22" spans="2:10" x14ac:dyDescent="0.25">
      <c r="B22" s="4" t="s">
        <v>37</v>
      </c>
      <c r="C22" s="4">
        <v>8.8447558983176147E-2</v>
      </c>
    </row>
    <row r="23" spans="2:10" ht="15.75" thickBot="1" x14ac:dyDescent="0.3">
      <c r="B23" s="5" t="s">
        <v>38</v>
      </c>
      <c r="C23" s="5">
        <v>12</v>
      </c>
    </row>
    <row r="25" spans="2:10" ht="15.75" thickBot="1" x14ac:dyDescent="0.3">
      <c r="B25" t="s">
        <v>39</v>
      </c>
    </row>
    <row r="26" spans="2:10" x14ac:dyDescent="0.25">
      <c r="B26" s="6"/>
      <c r="C26" s="6" t="s">
        <v>44</v>
      </c>
      <c r="D26" s="6" t="s">
        <v>45</v>
      </c>
      <c r="E26" s="6" t="s">
        <v>46</v>
      </c>
      <c r="F26" s="6" t="s">
        <v>47</v>
      </c>
      <c r="G26" s="6" t="s">
        <v>48</v>
      </c>
    </row>
    <row r="27" spans="2:10" x14ac:dyDescent="0.25">
      <c r="B27" s="4" t="s">
        <v>40</v>
      </c>
      <c r="C27" s="4">
        <v>1</v>
      </c>
      <c r="D27" s="4">
        <v>4.4732700956057886E-3</v>
      </c>
      <c r="E27" s="4">
        <v>4.4732700956057886E-3</v>
      </c>
      <c r="F27" s="4">
        <v>0.57181220188857151</v>
      </c>
      <c r="G27" s="4">
        <v>0.46697971209750155</v>
      </c>
    </row>
    <row r="28" spans="2:10" x14ac:dyDescent="0.25">
      <c r="B28" s="4" t="s">
        <v>41</v>
      </c>
      <c r="C28" s="4">
        <v>10</v>
      </c>
      <c r="D28" s="4">
        <v>7.8229706900824245E-2</v>
      </c>
      <c r="E28" s="4">
        <v>7.8229706900824238E-3</v>
      </c>
      <c r="F28" s="4"/>
      <c r="G28" s="4"/>
    </row>
    <row r="29" spans="2:10" ht="15.75" thickBot="1" x14ac:dyDescent="0.3">
      <c r="B29" s="5" t="s">
        <v>42</v>
      </c>
      <c r="C29" s="5">
        <v>11</v>
      </c>
      <c r="D29" s="5">
        <v>8.2702976996430033E-2</v>
      </c>
      <c r="E29" s="5"/>
      <c r="F29" s="5"/>
      <c r="G29" s="5"/>
    </row>
    <row r="30" spans="2:10" ht="15.75" thickBot="1" x14ac:dyDescent="0.3"/>
    <row r="31" spans="2:10" x14ac:dyDescent="0.25">
      <c r="B31" s="6"/>
      <c r="C31" s="6" t="s">
        <v>49</v>
      </c>
      <c r="D31" s="6" t="s">
        <v>37</v>
      </c>
      <c r="E31" s="6" t="s">
        <v>50</v>
      </c>
      <c r="F31" s="6" t="s">
        <v>51</v>
      </c>
      <c r="G31" s="6" t="s">
        <v>52</v>
      </c>
      <c r="H31" s="6" t="s">
        <v>53</v>
      </c>
      <c r="I31" s="6" t="s">
        <v>54</v>
      </c>
      <c r="J31" s="6" t="s">
        <v>55</v>
      </c>
    </row>
    <row r="32" spans="2:10" x14ac:dyDescent="0.25">
      <c r="B32" s="4" t="s">
        <v>43</v>
      </c>
      <c r="C32" s="4">
        <v>-1.7038355584640494E-2</v>
      </c>
      <c r="D32" s="4">
        <v>2.5552537529049211E-2</v>
      </c>
      <c r="E32" s="4">
        <v>-0.66679700852686619</v>
      </c>
      <c r="F32" s="4">
        <v>0.51998956293075005</v>
      </c>
      <c r="G32" s="4">
        <v>-7.3972957219952395E-2</v>
      </c>
      <c r="H32" s="4">
        <v>3.9896246050671408E-2</v>
      </c>
      <c r="I32" s="4">
        <v>-7.3972957219952395E-2</v>
      </c>
      <c r="J32" s="4">
        <v>3.9896246050671408E-2</v>
      </c>
    </row>
    <row r="33" spans="2:10" ht="15.75" thickBot="1" x14ac:dyDescent="0.3">
      <c r="B33" s="5" t="s">
        <v>56</v>
      </c>
      <c r="C33" s="5">
        <v>0.33613199514679221</v>
      </c>
      <c r="D33" s="5">
        <v>0.44451164627889111</v>
      </c>
      <c r="E33" s="5">
        <v>0.75618265114228211</v>
      </c>
      <c r="F33" s="5">
        <v>0.466979712097502</v>
      </c>
      <c r="G33" s="5">
        <v>-0.65430167408758511</v>
      </c>
      <c r="H33" s="5">
        <v>1.3265656643811696</v>
      </c>
      <c r="I33" s="5">
        <v>-0.65430167408758511</v>
      </c>
      <c r="J33" s="5">
        <v>1.3265656643811696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D4AB-2664-4147-A6F3-30226D8FF9C1}">
  <dimension ref="A1:J36"/>
  <sheetViews>
    <sheetView workbookViewId="0">
      <selection activeCell="H8" sqref="H8"/>
    </sheetView>
  </sheetViews>
  <sheetFormatPr defaultRowHeight="15" x14ac:dyDescent="0.25"/>
  <cols>
    <col min="1" max="1" width="14" customWidth="1"/>
    <col min="3" max="3" width="14.85546875" style="3" customWidth="1"/>
    <col min="5" max="5" width="15.85546875" customWidth="1"/>
    <col min="8" max="8" width="13.85546875" customWidth="1"/>
  </cols>
  <sheetData>
    <row r="1" spans="1:8" x14ac:dyDescent="0.25">
      <c r="A1" t="s">
        <v>1</v>
      </c>
      <c r="B1" t="s">
        <v>0</v>
      </c>
      <c r="C1" s="3" t="s">
        <v>2</v>
      </c>
      <c r="D1" t="s">
        <v>30</v>
      </c>
      <c r="E1" t="s">
        <v>31</v>
      </c>
      <c r="H1" t="s">
        <v>69</v>
      </c>
    </row>
    <row r="2" spans="1:8" x14ac:dyDescent="0.25">
      <c r="A2" s="2">
        <v>44621</v>
      </c>
      <c r="B2" s="1">
        <v>5376</v>
      </c>
      <c r="C2" s="3">
        <f>B2/B3</f>
        <v>1.1686956521739131</v>
      </c>
      <c r="D2">
        <v>75497.149999999994</v>
      </c>
      <c r="E2">
        <f>D2/D3-1</f>
        <v>-7.7980815215984434E-3</v>
      </c>
      <c r="H2">
        <v>9.6</v>
      </c>
    </row>
    <row r="3" spans="1:8" x14ac:dyDescent="0.25">
      <c r="A3" s="2">
        <v>44593</v>
      </c>
      <c r="B3">
        <v>4600</v>
      </c>
      <c r="C3" s="3">
        <f>B3/B4</f>
        <v>0.90196078431372551</v>
      </c>
      <c r="D3">
        <v>76090.509999999995</v>
      </c>
      <c r="E3">
        <f t="shared" ref="E3:E13" si="0">D3/D4-1</f>
        <v>2.4035536984540418E-2</v>
      </c>
      <c r="H3">
        <v>9.4499999999999993</v>
      </c>
    </row>
    <row r="4" spans="1:8" x14ac:dyDescent="0.25">
      <c r="A4" s="2">
        <v>44562</v>
      </c>
      <c r="B4">
        <v>5100</v>
      </c>
      <c r="C4" s="3">
        <f>B4/B5-1</f>
        <v>-2.8016009148084664E-2</v>
      </c>
      <c r="D4">
        <v>74304.56</v>
      </c>
      <c r="E4">
        <f t="shared" si="0"/>
        <v>8.0745478968147211E-3</v>
      </c>
      <c r="H4">
        <v>9.4</v>
      </c>
    </row>
    <row r="5" spans="1:8" x14ac:dyDescent="0.25">
      <c r="A5" s="2">
        <v>44531</v>
      </c>
      <c r="B5">
        <v>5247</v>
      </c>
      <c r="C5" s="3">
        <f t="shared" ref="C3:C14" si="1">B5/B6-1</f>
        <v>-1.3165318788790681E-2</v>
      </c>
      <c r="D5">
        <v>73709.39</v>
      </c>
      <c r="E5">
        <f t="shared" si="0"/>
        <v>4.5893850047860951E-2</v>
      </c>
      <c r="H5">
        <v>9.35</v>
      </c>
    </row>
    <row r="6" spans="1:8" x14ac:dyDescent="0.25">
      <c r="A6" s="2">
        <v>44501</v>
      </c>
      <c r="B6">
        <v>5317</v>
      </c>
      <c r="C6" s="3">
        <f t="shared" si="1"/>
        <v>-0.10938023450586265</v>
      </c>
      <c r="D6">
        <v>70475.02</v>
      </c>
      <c r="E6">
        <f t="shared" si="0"/>
        <v>4.462082312984772E-2</v>
      </c>
      <c r="H6">
        <v>9.77</v>
      </c>
    </row>
    <row r="7" spans="1:8" x14ac:dyDescent="0.25">
      <c r="A7" s="2">
        <v>44470</v>
      </c>
      <c r="B7">
        <v>5970</v>
      </c>
      <c r="C7" s="3">
        <f t="shared" si="1"/>
        <v>4.7368421052631504E-2</v>
      </c>
      <c r="D7">
        <v>67464.69</v>
      </c>
      <c r="E7">
        <f t="shared" si="0"/>
        <v>4.9515126917009322E-2</v>
      </c>
      <c r="H7">
        <v>9.64</v>
      </c>
    </row>
    <row r="8" spans="1:8" x14ac:dyDescent="0.25">
      <c r="A8" s="2">
        <v>44440</v>
      </c>
      <c r="B8">
        <v>5700</v>
      </c>
      <c r="C8" s="3">
        <f t="shared" si="1"/>
        <v>-3.0777078728107421E-2</v>
      </c>
      <c r="D8">
        <v>64281.77</v>
      </c>
      <c r="E8">
        <f t="shared" si="0"/>
        <v>-4.6659596401669057E-2</v>
      </c>
      <c r="H8">
        <v>9.2249999999999996</v>
      </c>
    </row>
    <row r="9" spans="1:8" x14ac:dyDescent="0.25">
      <c r="A9" s="2">
        <v>44409</v>
      </c>
      <c r="B9">
        <v>5881</v>
      </c>
      <c r="C9" s="3">
        <f t="shared" si="1"/>
        <v>0.12684422303123211</v>
      </c>
      <c r="D9">
        <v>67427.929999999993</v>
      </c>
      <c r="E9">
        <f t="shared" si="0"/>
        <v>-2.2369617974452471E-2</v>
      </c>
      <c r="H9">
        <v>8.7750000000000004</v>
      </c>
    </row>
    <row r="10" spans="1:8" x14ac:dyDescent="0.25">
      <c r="A10" s="2">
        <v>44378</v>
      </c>
      <c r="B10">
        <v>5219</v>
      </c>
      <c r="C10" s="3">
        <f t="shared" si="1"/>
        <v>-1.0616113744075784E-2</v>
      </c>
      <c r="D10">
        <v>68970.78</v>
      </c>
      <c r="E10">
        <f t="shared" si="0"/>
        <v>4.1088177677039539E-2</v>
      </c>
      <c r="H10">
        <v>8.8249999999999993</v>
      </c>
    </row>
    <row r="11" spans="1:8" x14ac:dyDescent="0.25">
      <c r="A11" s="2">
        <v>44348</v>
      </c>
      <c r="B11">
        <v>5275</v>
      </c>
      <c r="C11" s="3">
        <f t="shared" si="1"/>
        <v>-9.2863284608770469E-2</v>
      </c>
      <c r="D11">
        <v>66248.740000000005</v>
      </c>
      <c r="E11">
        <f t="shared" si="0"/>
        <v>-2.5238346631542008E-2</v>
      </c>
      <c r="H11">
        <v>8.8800000000000008</v>
      </c>
    </row>
    <row r="12" spans="1:8" x14ac:dyDescent="0.25">
      <c r="A12" s="2">
        <v>44317</v>
      </c>
      <c r="B12">
        <v>5815</v>
      </c>
      <c r="C12" s="3">
        <f t="shared" si="1"/>
        <v>7.4662724080576615E-2</v>
      </c>
      <c r="D12">
        <v>67964.039999999994</v>
      </c>
      <c r="E12">
        <f t="shared" si="0"/>
        <v>1.5343382583623333E-2</v>
      </c>
      <c r="H12">
        <v>8.91</v>
      </c>
    </row>
    <row r="13" spans="1:8" x14ac:dyDescent="0.25">
      <c r="A13" s="2">
        <v>44287</v>
      </c>
      <c r="B13">
        <v>5411</v>
      </c>
      <c r="C13" s="3">
        <f t="shared" si="1"/>
        <v>6.6976744186046933E-3</v>
      </c>
      <c r="D13">
        <v>66937</v>
      </c>
      <c r="E13">
        <f t="shared" si="0"/>
        <v>6.7941344619240063E-3</v>
      </c>
      <c r="H13">
        <v>9.2899999999999991</v>
      </c>
    </row>
    <row r="14" spans="1:8" x14ac:dyDescent="0.25">
      <c r="A14" s="2">
        <v>44256</v>
      </c>
      <c r="B14">
        <v>5375</v>
      </c>
      <c r="D14">
        <v>66485.289999999994</v>
      </c>
      <c r="H14">
        <v>9.4849999999999994</v>
      </c>
    </row>
    <row r="16" spans="1:8" x14ac:dyDescent="0.25">
      <c r="B16" t="s">
        <v>32</v>
      </c>
      <c r="C16"/>
    </row>
    <row r="17" spans="2:10" ht="15.75" thickBot="1" x14ac:dyDescent="0.3">
      <c r="C17"/>
    </row>
    <row r="18" spans="2:10" x14ac:dyDescent="0.25">
      <c r="B18" s="7" t="s">
        <v>33</v>
      </c>
      <c r="C18" s="7"/>
      <c r="H18" s="8" t="s">
        <v>67</v>
      </c>
      <c r="I18" s="8">
        <f>AVERAGE(H2:H14)</f>
        <v>9.2769230769230759</v>
      </c>
    </row>
    <row r="19" spans="2:10" x14ac:dyDescent="0.25">
      <c r="B19" s="4" t="s">
        <v>34</v>
      </c>
      <c r="C19" s="4">
        <v>8.1733445410498873E-2</v>
      </c>
      <c r="H19" s="8" t="s">
        <v>60</v>
      </c>
      <c r="I19" s="8">
        <f>C33</f>
        <v>-1.0654159180571408</v>
      </c>
    </row>
    <row r="20" spans="2:10" x14ac:dyDescent="0.25">
      <c r="B20" s="4" t="s">
        <v>35</v>
      </c>
      <c r="C20" s="4">
        <v>6.6803560986709986E-3</v>
      </c>
      <c r="H20" s="8" t="s">
        <v>68</v>
      </c>
      <c r="I20" s="8">
        <f>(1+AVERAGE(E2:E13))^(12)-1</f>
        <v>0.14175323336918377</v>
      </c>
    </row>
    <row r="21" spans="2:10" x14ac:dyDescent="0.25">
      <c r="B21" s="4" t="s">
        <v>36</v>
      </c>
      <c r="C21" s="4">
        <v>-9.2651608291461907E-2</v>
      </c>
      <c r="H21" s="8" t="s">
        <v>71</v>
      </c>
      <c r="I21" s="8">
        <f>I18+I19*(I20-I18)</f>
        <v>19.009678442400954</v>
      </c>
    </row>
    <row r="22" spans="2:10" x14ac:dyDescent="0.25">
      <c r="B22" s="4" t="s">
        <v>37</v>
      </c>
      <c r="C22" s="4">
        <v>0.43198506765573225</v>
      </c>
    </row>
    <row r="23" spans="2:10" ht="15.75" thickBot="1" x14ac:dyDescent="0.3">
      <c r="B23" s="5" t="s">
        <v>38</v>
      </c>
      <c r="C23" s="5">
        <v>12</v>
      </c>
    </row>
    <row r="24" spans="2:10" x14ac:dyDescent="0.25">
      <c r="C24"/>
    </row>
    <row r="25" spans="2:10" ht="15.75" thickBot="1" x14ac:dyDescent="0.3">
      <c r="B25" t="s">
        <v>39</v>
      </c>
      <c r="C25"/>
    </row>
    <row r="26" spans="2:10" x14ac:dyDescent="0.25">
      <c r="B26" s="6"/>
      <c r="C26" s="6" t="s">
        <v>44</v>
      </c>
      <c r="D26" s="6" t="s">
        <v>45</v>
      </c>
      <c r="E26" s="6" t="s">
        <v>46</v>
      </c>
      <c r="F26" s="6" t="s">
        <v>47</v>
      </c>
      <c r="G26" s="6" t="s">
        <v>48</v>
      </c>
    </row>
    <row r="27" spans="2:10" x14ac:dyDescent="0.25">
      <c r="B27" s="4" t="s">
        <v>40</v>
      </c>
      <c r="C27" s="4">
        <v>1</v>
      </c>
      <c r="D27" s="4">
        <v>1.2550125216832519E-2</v>
      </c>
      <c r="E27" s="4">
        <v>1.2550125216832519E-2</v>
      </c>
      <c r="F27" s="4">
        <v>6.7252833865576803E-2</v>
      </c>
      <c r="G27" s="4">
        <v>0.80063995224833162</v>
      </c>
    </row>
    <row r="28" spans="2:10" x14ac:dyDescent="0.25">
      <c r="B28" s="4" t="s">
        <v>41</v>
      </c>
      <c r="C28" s="4">
        <v>10</v>
      </c>
      <c r="D28" s="4">
        <v>1.8661109867752756</v>
      </c>
      <c r="E28" s="4">
        <v>0.18661109867752756</v>
      </c>
      <c r="F28" s="4"/>
      <c r="G28" s="4"/>
    </row>
    <row r="29" spans="2:10" ht="15.75" thickBot="1" x14ac:dyDescent="0.3">
      <c r="B29" s="5" t="s">
        <v>42</v>
      </c>
      <c r="C29" s="5">
        <v>11</v>
      </c>
      <c r="D29" s="5">
        <v>1.8786611119921082</v>
      </c>
      <c r="E29" s="5"/>
      <c r="F29" s="5"/>
      <c r="G29" s="5"/>
    </row>
    <row r="30" spans="2:10" ht="15.75" thickBot="1" x14ac:dyDescent="0.3">
      <c r="C30"/>
    </row>
    <row r="31" spans="2:10" x14ac:dyDescent="0.25">
      <c r="B31" s="6"/>
      <c r="C31" s="6" t="s">
        <v>49</v>
      </c>
      <c r="D31" s="6" t="s">
        <v>37</v>
      </c>
      <c r="E31" s="6" t="s">
        <v>50</v>
      </c>
      <c r="F31" s="6" t="s">
        <v>51</v>
      </c>
      <c r="G31" s="6" t="s">
        <v>52</v>
      </c>
      <c r="H31" s="6" t="s">
        <v>53</v>
      </c>
      <c r="I31" s="6" t="s">
        <v>54</v>
      </c>
      <c r="J31" s="6" t="s">
        <v>55</v>
      </c>
    </row>
    <row r="32" spans="2:10" x14ac:dyDescent="0.25">
      <c r="B32" s="4" t="s">
        <v>43</v>
      </c>
      <c r="C32" s="4">
        <v>0.18195260954027376</v>
      </c>
      <c r="D32" s="4">
        <v>0.13279163178945083</v>
      </c>
      <c r="E32" s="4">
        <v>1.3702114138394701</v>
      </c>
      <c r="F32" s="4">
        <v>0.20059501849285299</v>
      </c>
      <c r="G32" s="4">
        <v>-0.1139255844684573</v>
      </c>
      <c r="H32" s="4">
        <v>0.47783080354900481</v>
      </c>
      <c r="I32" s="4">
        <v>-0.1139255844684573</v>
      </c>
      <c r="J32" s="4">
        <v>0.47783080354900481</v>
      </c>
    </row>
    <row r="33" spans="2:10" ht="15.75" thickBot="1" x14ac:dyDescent="0.3">
      <c r="B33" s="5" t="s">
        <v>56</v>
      </c>
      <c r="C33" s="5">
        <v>-1.0654159180571408</v>
      </c>
      <c r="D33" s="5">
        <v>4.1083164321402492</v>
      </c>
      <c r="E33" s="5">
        <v>-0.25933151344481681</v>
      </c>
      <c r="F33" s="5">
        <v>0.80063995224832807</v>
      </c>
      <c r="G33" s="5">
        <v>-10.219315376762463</v>
      </c>
      <c r="H33" s="5">
        <v>8.0884835406481805</v>
      </c>
      <c r="I33" s="5">
        <v>-10.219315376762463</v>
      </c>
      <c r="J33" s="5">
        <v>8.0884835406481805</v>
      </c>
    </row>
    <row r="34" spans="2:10" x14ac:dyDescent="0.25">
      <c r="C34"/>
    </row>
    <row r="35" spans="2:10" x14ac:dyDescent="0.25">
      <c r="C35"/>
    </row>
    <row r="36" spans="2:10" x14ac:dyDescent="0.25">
      <c r="C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AE89-7B63-495F-8173-698968D5C8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5BCA-BEFF-4EB3-9032-0122F97FFFD7}">
  <dimension ref="A1:L36"/>
  <sheetViews>
    <sheetView tabSelected="1" topLeftCell="A7" workbookViewId="0">
      <selection activeCell="C13" sqref="C13"/>
    </sheetView>
  </sheetViews>
  <sheetFormatPr defaultRowHeight="15" x14ac:dyDescent="0.25"/>
  <cols>
    <col min="5" max="5" width="46.140625" customWidth="1"/>
    <col min="6" max="6" width="18.140625" customWidth="1"/>
    <col min="7" max="7" width="12" bestFit="1" customWidth="1"/>
    <col min="8" max="11" width="10.85546875" bestFit="1" customWidth="1"/>
  </cols>
  <sheetData>
    <row r="1" spans="1:12" x14ac:dyDescent="0.25">
      <c r="A1" t="s">
        <v>72</v>
      </c>
      <c r="B1" t="s">
        <v>73</v>
      </c>
      <c r="F1" t="s">
        <v>104</v>
      </c>
    </row>
    <row r="2" spans="1:12" x14ac:dyDescent="0.25">
      <c r="A2">
        <v>2022</v>
      </c>
      <c r="B2">
        <v>28</v>
      </c>
      <c r="F2">
        <v>2026</v>
      </c>
      <c r="G2">
        <v>2025</v>
      </c>
      <c r="H2">
        <v>2024</v>
      </c>
      <c r="I2">
        <v>2023</v>
      </c>
      <c r="J2">
        <v>2022</v>
      </c>
      <c r="K2">
        <v>2021</v>
      </c>
    </row>
    <row r="3" spans="1:12" x14ac:dyDescent="0.25">
      <c r="A3">
        <v>2023</v>
      </c>
      <c r="B3">
        <v>28</v>
      </c>
      <c r="E3" t="s">
        <v>74</v>
      </c>
      <c r="F3">
        <v>200</v>
      </c>
      <c r="G3">
        <v>850</v>
      </c>
      <c r="H3" s="1">
        <v>4500</v>
      </c>
      <c r="I3">
        <v>0</v>
      </c>
      <c r="J3">
        <v>0</v>
      </c>
      <c r="K3">
        <v>0</v>
      </c>
    </row>
    <row r="4" spans="1:12" x14ac:dyDescent="0.25">
      <c r="A4">
        <v>2024</v>
      </c>
      <c r="B4">
        <v>27</v>
      </c>
      <c r="E4" t="s">
        <v>75</v>
      </c>
      <c r="F4">
        <v>0</v>
      </c>
      <c r="G4">
        <v>300</v>
      </c>
      <c r="H4" s="1">
        <v>5179</v>
      </c>
      <c r="I4" s="1">
        <v>2800</v>
      </c>
      <c r="J4" s="10">
        <v>2800</v>
      </c>
      <c r="K4" s="10">
        <v>1951.4</v>
      </c>
    </row>
    <row r="5" spans="1:12" x14ac:dyDescent="0.25">
      <c r="A5">
        <v>2025</v>
      </c>
      <c r="B5">
        <v>27</v>
      </c>
      <c r="E5" t="s">
        <v>76</v>
      </c>
      <c r="F5">
        <v>0</v>
      </c>
      <c r="G5">
        <v>0</v>
      </c>
      <c r="H5">
        <v>1766</v>
      </c>
      <c r="I5" s="10">
        <v>2869.4</v>
      </c>
      <c r="J5" s="10">
        <v>4003.1</v>
      </c>
      <c r="K5" s="10">
        <v>3331.2</v>
      </c>
    </row>
    <row r="6" spans="1:12" x14ac:dyDescent="0.25">
      <c r="A6">
        <v>2026</v>
      </c>
      <c r="B6">
        <v>27</v>
      </c>
      <c r="E6" s="9" t="s">
        <v>77</v>
      </c>
      <c r="F6" s="9">
        <f>SUM(F3:F5)</f>
        <v>200</v>
      </c>
      <c r="G6" s="9">
        <f t="shared" ref="G6:K6" si="0">SUM(G3:G5)</f>
        <v>1150</v>
      </c>
      <c r="H6" s="9">
        <f t="shared" si="0"/>
        <v>11445</v>
      </c>
      <c r="I6" s="9">
        <f t="shared" si="0"/>
        <v>5669.4</v>
      </c>
      <c r="J6" s="9">
        <f t="shared" si="0"/>
        <v>6803.1</v>
      </c>
      <c r="K6" s="9">
        <f t="shared" si="0"/>
        <v>5282.6</v>
      </c>
    </row>
    <row r="7" spans="1:12" x14ac:dyDescent="0.25">
      <c r="E7" t="s">
        <v>78</v>
      </c>
      <c r="F7" s="1">
        <v>15883</v>
      </c>
      <c r="G7" s="1">
        <v>16379</v>
      </c>
      <c r="H7" s="1">
        <v>16868</v>
      </c>
      <c r="I7" s="10">
        <v>15133.2</v>
      </c>
      <c r="J7" s="10">
        <v>13656.5</v>
      </c>
      <c r="K7" s="10">
        <v>14312.6</v>
      </c>
      <c r="L7" s="1"/>
    </row>
    <row r="8" spans="1:12" x14ac:dyDescent="0.25">
      <c r="E8" t="s">
        <v>79</v>
      </c>
      <c r="F8" s="1">
        <v>2652</v>
      </c>
      <c r="G8" s="1">
        <v>2741</v>
      </c>
      <c r="H8" s="1">
        <v>2838</v>
      </c>
      <c r="I8" s="10">
        <v>2470.8000000000002</v>
      </c>
      <c r="J8" s="10">
        <v>2431.4</v>
      </c>
      <c r="K8" s="10">
        <v>2046.8</v>
      </c>
    </row>
    <row r="9" spans="1:12" x14ac:dyDescent="0.25">
      <c r="E9" s="9" t="s">
        <v>80</v>
      </c>
      <c r="F9" s="11">
        <f>SUM(F7:F8)</f>
        <v>18535</v>
      </c>
      <c r="G9" s="11">
        <f t="shared" ref="G9:K9" si="1">SUM(G7:G8)</f>
        <v>19120</v>
      </c>
      <c r="H9" s="11">
        <f t="shared" si="1"/>
        <v>19706</v>
      </c>
      <c r="I9" s="11">
        <f t="shared" si="1"/>
        <v>17604</v>
      </c>
      <c r="J9" s="11">
        <f t="shared" si="1"/>
        <v>16087.9</v>
      </c>
      <c r="K9" s="11">
        <f t="shared" si="1"/>
        <v>16359.4</v>
      </c>
    </row>
    <row r="10" spans="1:12" x14ac:dyDescent="0.25">
      <c r="E10" t="s">
        <v>81</v>
      </c>
      <c r="F10" s="1">
        <f>F6+F9</f>
        <v>18735</v>
      </c>
      <c r="G10" s="1">
        <f t="shared" ref="G10:K10" si="2">G6+G9</f>
        <v>20270</v>
      </c>
      <c r="H10" s="1">
        <f t="shared" si="2"/>
        <v>31151</v>
      </c>
      <c r="I10" s="1">
        <f t="shared" si="2"/>
        <v>23273.4</v>
      </c>
      <c r="J10" s="1">
        <f t="shared" si="2"/>
        <v>22891</v>
      </c>
      <c r="K10" s="1">
        <f t="shared" si="2"/>
        <v>21642</v>
      </c>
    </row>
    <row r="11" spans="1:12" x14ac:dyDescent="0.25">
      <c r="F11">
        <v>2026</v>
      </c>
      <c r="G11">
        <v>2025</v>
      </c>
      <c r="H11">
        <v>2024</v>
      </c>
      <c r="I11">
        <v>2023</v>
      </c>
      <c r="J11">
        <v>2022</v>
      </c>
      <c r="K11">
        <v>2021</v>
      </c>
    </row>
    <row r="12" spans="1:12" x14ac:dyDescent="0.25">
      <c r="E12" t="s">
        <v>82</v>
      </c>
    </row>
    <row r="13" spans="1:12" x14ac:dyDescent="0.25">
      <c r="E13" t="s">
        <v>83</v>
      </c>
      <c r="F13">
        <v>69</v>
      </c>
      <c r="G13">
        <v>792</v>
      </c>
      <c r="H13">
        <v>836</v>
      </c>
      <c r="I13">
        <v>431.4</v>
      </c>
      <c r="J13">
        <v>341</v>
      </c>
      <c r="K13">
        <v>296.3</v>
      </c>
    </row>
    <row r="14" spans="1:12" x14ac:dyDescent="0.25">
      <c r="E14" t="s">
        <v>84</v>
      </c>
      <c r="F14" s="1">
        <v>1778</v>
      </c>
      <c r="G14" s="1">
        <v>1769</v>
      </c>
      <c r="H14" s="1">
        <v>1631</v>
      </c>
      <c r="I14" s="10">
        <v>1342.5</v>
      </c>
      <c r="J14" s="10">
        <v>1333.9</v>
      </c>
      <c r="K14" s="10">
        <v>1386.2</v>
      </c>
    </row>
    <row r="15" spans="1:12" x14ac:dyDescent="0.25">
      <c r="E15" s="9" t="s">
        <v>85</v>
      </c>
      <c r="F15" s="9">
        <f>SUM(F13:F14)</f>
        <v>1847</v>
      </c>
      <c r="G15" s="9">
        <f t="shared" ref="G15:K15" si="3">SUM(G13:G14)</f>
        <v>2561</v>
      </c>
      <c r="H15" s="9">
        <f t="shared" si="3"/>
        <v>2467</v>
      </c>
      <c r="I15" s="9">
        <f t="shared" si="3"/>
        <v>1773.9</v>
      </c>
      <c r="J15" s="9">
        <f t="shared" si="3"/>
        <v>1674.9</v>
      </c>
      <c r="K15" s="9">
        <f t="shared" si="3"/>
        <v>1682.5</v>
      </c>
    </row>
    <row r="17" spans="5:11" x14ac:dyDescent="0.25">
      <c r="E17" t="s">
        <v>86</v>
      </c>
      <c r="F17">
        <v>2026</v>
      </c>
      <c r="G17">
        <v>2025</v>
      </c>
      <c r="H17">
        <v>2024</v>
      </c>
      <c r="I17">
        <v>2023</v>
      </c>
      <c r="J17">
        <v>2022</v>
      </c>
      <c r="K17">
        <v>2021</v>
      </c>
    </row>
    <row r="18" spans="5:11" x14ac:dyDescent="0.25">
      <c r="E18" t="s">
        <v>87</v>
      </c>
      <c r="F18">
        <f>(F6+G6)/2</f>
        <v>675</v>
      </c>
      <c r="G18">
        <f t="shared" ref="G18:J18" si="4">(G6+H6)/2</f>
        <v>6297.5</v>
      </c>
      <c r="H18">
        <f t="shared" si="4"/>
        <v>8557.2000000000007</v>
      </c>
      <c r="I18">
        <f t="shared" si="4"/>
        <v>6236.25</v>
      </c>
      <c r="J18">
        <f t="shared" si="4"/>
        <v>6042.85</v>
      </c>
    </row>
    <row r="19" spans="5:11" x14ac:dyDescent="0.25">
      <c r="E19" t="s">
        <v>90</v>
      </c>
      <c r="F19">
        <f>F13/F18</f>
        <v>0.10222222222222223</v>
      </c>
      <c r="G19">
        <f t="shared" ref="G19:J19" si="5">G13/G18</f>
        <v>0.125764192139738</v>
      </c>
      <c r="H19">
        <f t="shared" si="5"/>
        <v>9.7695507876408169E-2</v>
      </c>
      <c r="I19">
        <f t="shared" si="5"/>
        <v>6.9176187612748047E-2</v>
      </c>
      <c r="J19">
        <f t="shared" si="5"/>
        <v>5.6430326749795208E-2</v>
      </c>
    </row>
    <row r="20" spans="5:11" x14ac:dyDescent="0.25">
      <c r="E20" t="s">
        <v>88</v>
      </c>
      <c r="F20">
        <f>(F9+G9)/2</f>
        <v>18827.5</v>
      </c>
      <c r="G20">
        <f t="shared" ref="G20:J20" si="6">(G9+H9)/2</f>
        <v>19413</v>
      </c>
      <c r="H20">
        <f t="shared" si="6"/>
        <v>18655</v>
      </c>
      <c r="I20">
        <f t="shared" si="6"/>
        <v>16845.95</v>
      </c>
      <c r="J20">
        <f t="shared" si="6"/>
        <v>16223.65</v>
      </c>
    </row>
    <row r="21" spans="5:11" x14ac:dyDescent="0.25">
      <c r="E21" t="s">
        <v>91</v>
      </c>
      <c r="F21">
        <f>F14/F20</f>
        <v>9.4436329836675076E-2</v>
      </c>
      <c r="G21">
        <f t="shared" ref="G21:J21" si="7">G14/G20</f>
        <v>9.1124504198217687E-2</v>
      </c>
      <c r="H21">
        <f t="shared" si="7"/>
        <v>8.7429643527204504E-2</v>
      </c>
      <c r="I21">
        <f t="shared" si="7"/>
        <v>7.969274514052338E-2</v>
      </c>
      <c r="J21">
        <f t="shared" si="7"/>
        <v>8.221947588859474E-2</v>
      </c>
    </row>
    <row r="22" spans="5:11" x14ac:dyDescent="0.25">
      <c r="E22" t="s">
        <v>89</v>
      </c>
      <c r="F22">
        <f>(F10+G10)/2</f>
        <v>19502.5</v>
      </c>
      <c r="G22">
        <f t="shared" ref="G22:J22" si="8">(G10+H10)/2</f>
        <v>25710.5</v>
      </c>
      <c r="H22">
        <f t="shared" si="8"/>
        <v>27212.2</v>
      </c>
      <c r="I22">
        <f t="shared" si="8"/>
        <v>23082.2</v>
      </c>
      <c r="J22">
        <f t="shared" si="8"/>
        <v>22266.5</v>
      </c>
    </row>
    <row r="23" spans="5:11" x14ac:dyDescent="0.25">
      <c r="E23" t="s">
        <v>92</v>
      </c>
      <c r="F23">
        <f>F18/F22</f>
        <v>3.4610947314446867E-2</v>
      </c>
      <c r="G23">
        <f t="shared" ref="G23:J23" si="9">G18/G22</f>
        <v>0.24493883821784873</v>
      </c>
      <c r="H23">
        <f t="shared" si="9"/>
        <v>0.31446189576733968</v>
      </c>
      <c r="I23">
        <f t="shared" si="9"/>
        <v>0.27017571981873478</v>
      </c>
      <c r="J23">
        <f t="shared" si="9"/>
        <v>0.27138751038555681</v>
      </c>
    </row>
    <row r="24" spans="5:11" x14ac:dyDescent="0.25">
      <c r="E24" t="s">
        <v>93</v>
      </c>
      <c r="F24">
        <f>F20/F22</f>
        <v>0.96538905268555308</v>
      </c>
      <c r="G24">
        <f t="shared" ref="G24:J24" si="10">G20/G22</f>
        <v>0.75506116178215121</v>
      </c>
      <c r="H24">
        <f t="shared" si="10"/>
        <v>0.68553810423266037</v>
      </c>
      <c r="I24">
        <f t="shared" si="10"/>
        <v>0.72982428018126522</v>
      </c>
      <c r="J24">
        <f t="shared" si="10"/>
        <v>0.72861248961444325</v>
      </c>
    </row>
    <row r="26" spans="5:11" x14ac:dyDescent="0.25">
      <c r="E26" t="s">
        <v>94</v>
      </c>
      <c r="F26">
        <f>F23*F19+F24*F21</f>
        <v>9.4705806947827195E-2</v>
      </c>
      <c r="G26">
        <f t="shared" ref="G26:J26" si="11">G23*G19+G24*G21</f>
        <v>9.9609109118842493E-2</v>
      </c>
      <c r="H26">
        <f t="shared" si="11"/>
        <v>9.0657866692145442E-2</v>
      </c>
      <c r="I26">
        <f t="shared" si="11"/>
        <v>7.6851426640441547E-2</v>
      </c>
      <c r="J26">
        <f t="shared" si="11"/>
        <v>7.5220622908854118E-2</v>
      </c>
    </row>
    <row r="27" spans="5:11" x14ac:dyDescent="0.25">
      <c r="E27" t="s">
        <v>95</v>
      </c>
      <c r="F27" s="8">
        <v>0.14070969999999999</v>
      </c>
      <c r="G27">
        <v>7.1813479999999999E-2</v>
      </c>
      <c r="H27">
        <v>-3.5552199999999999E-2</v>
      </c>
      <c r="I27">
        <v>6.7797029999999994E-2</v>
      </c>
      <c r="J27">
        <v>0.19009680000000001</v>
      </c>
    </row>
    <row r="28" spans="5:11" x14ac:dyDescent="0.25">
      <c r="E28" t="s">
        <v>96</v>
      </c>
      <c r="F28" s="1">
        <f>F10</f>
        <v>18735</v>
      </c>
      <c r="G28" s="1">
        <f>G10</f>
        <v>20270</v>
      </c>
      <c r="H28" s="1">
        <f>H10</f>
        <v>31151</v>
      </c>
      <c r="I28" s="1">
        <f>I10</f>
        <v>23273.4</v>
      </c>
      <c r="J28" s="1">
        <f>J10</f>
        <v>22891</v>
      </c>
    </row>
    <row r="29" spans="5:11" x14ac:dyDescent="0.25">
      <c r="E29" t="s">
        <v>97</v>
      </c>
      <c r="F29">
        <v>0.27</v>
      </c>
      <c r="G29">
        <v>0.27</v>
      </c>
      <c r="H29">
        <v>0.27</v>
      </c>
      <c r="I29">
        <v>0.28000000000000003</v>
      </c>
      <c r="J29">
        <v>0.28000000000000003</v>
      </c>
    </row>
    <row r="30" spans="5:11" x14ac:dyDescent="0.25">
      <c r="E30" t="s">
        <v>98</v>
      </c>
      <c r="I30" s="1"/>
      <c r="J30" s="1"/>
      <c r="K30" s="1"/>
    </row>
    <row r="31" spans="5:11" x14ac:dyDescent="0.25">
      <c r="E31" t="s">
        <v>99</v>
      </c>
      <c r="J31" s="1"/>
      <c r="K31" s="1"/>
    </row>
    <row r="32" spans="5:11" x14ac:dyDescent="0.25">
      <c r="E32" t="s">
        <v>100</v>
      </c>
      <c r="F32" s="1">
        <v>734384</v>
      </c>
      <c r="G32" s="1">
        <v>735712</v>
      </c>
      <c r="H32" s="1">
        <v>482654</v>
      </c>
      <c r="I32" s="1">
        <v>481070.2</v>
      </c>
      <c r="J32" s="1">
        <v>480225.5</v>
      </c>
      <c r="K32" s="1">
        <v>478181.7</v>
      </c>
    </row>
    <row r="33" spans="5:11" x14ac:dyDescent="0.25">
      <c r="E33" t="s">
        <v>101</v>
      </c>
      <c r="F33">
        <f>1910/100</f>
        <v>19.100000000000001</v>
      </c>
      <c r="G33">
        <f>2815/100</f>
        <v>28.15</v>
      </c>
      <c r="H33">
        <v>18.68</v>
      </c>
      <c r="I33">
        <v>42.27</v>
      </c>
      <c r="J33">
        <v>53.76</v>
      </c>
      <c r="K33">
        <v>53.75</v>
      </c>
    </row>
    <row r="34" spans="5:11" x14ac:dyDescent="0.25">
      <c r="E34" t="s">
        <v>102</v>
      </c>
      <c r="F34">
        <f>F32*F33</f>
        <v>14026734.4</v>
      </c>
      <c r="G34">
        <f t="shared" ref="G34:J34" si="12">G32*G33</f>
        <v>20710292.800000001</v>
      </c>
      <c r="H34">
        <f t="shared" si="12"/>
        <v>9015976.7200000007</v>
      </c>
      <c r="I34">
        <f t="shared" si="12"/>
        <v>20334837.354000002</v>
      </c>
      <c r="J34">
        <f t="shared" si="12"/>
        <v>25816922.879999999</v>
      </c>
    </row>
    <row r="36" spans="5:11" x14ac:dyDescent="0.25">
      <c r="E36" t="s">
        <v>103</v>
      </c>
      <c r="F36">
        <f>(F34/(F34+F28))*F27+(F28/(F28+F34))*F26*(1-F29)</f>
        <v>0.14061422810886565</v>
      </c>
      <c r="G36">
        <f t="shared" ref="G36:J36" si="13">(G34/(G34+G28))*G27+(G28/(G28+G34))*G26*(1-G29)</f>
        <v>7.1814361148723208E-2</v>
      </c>
      <c r="H36">
        <f t="shared" si="13"/>
        <v>-3.5201915642337725E-2</v>
      </c>
      <c r="I36">
        <f t="shared" si="13"/>
        <v>6.778278114721055E-2</v>
      </c>
      <c r="J36">
        <f t="shared" si="13"/>
        <v>0.18997637515242305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PIKJ Historical Data</vt:lpstr>
      <vt:lpstr>2025 PIKJ </vt:lpstr>
      <vt:lpstr>2024 PIKJ</vt:lpstr>
      <vt:lpstr>2023 PIKJ </vt:lpstr>
      <vt:lpstr>2022 PIKJ Historical Data</vt:lpstr>
      <vt:lpstr>Cost of Debt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Siphosethu Limane</dc:creator>
  <cp:lastModifiedBy>Siphosethu Limane</cp:lastModifiedBy>
  <dcterms:created xsi:type="dcterms:W3CDTF">2026-07-23T02:53:36Z</dcterms:created>
  <dcterms:modified xsi:type="dcterms:W3CDTF">2026-07-24T05:44:13Z</dcterms:modified>
</cp:coreProperties>
</file>