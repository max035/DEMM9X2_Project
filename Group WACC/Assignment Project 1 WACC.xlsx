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an\OneDrive - University of Johannesburg\MFE\Semester 2 2026\Debt market modelling\Group Assignment\"/>
    </mc:Choice>
  </mc:AlternateContent>
  <xr:revisionPtr revIDLastSave="0" documentId="8_{EB8C8333-5A6A-4585-AADD-9C5BD47C8FA4}" xr6:coauthVersionLast="47" xr6:coauthVersionMax="47" xr10:uidLastSave="{00000000-0000-0000-0000-000000000000}"/>
  <bookViews>
    <workbookView xWindow="-120" yWindow="-120" windowWidth="20730" windowHeight="11040" firstSheet="4" activeTab="4" xr2:uid="{34C78959-4E49-4F3F-BDE5-1D69FC944ECC}"/>
  </bookViews>
  <sheets>
    <sheet name="PIKJ Historical Data" sheetId="5" r:id="rId1"/>
    <sheet name="2025 PIKJ(Pick N Pay) " sheetId="2" r:id="rId2"/>
    <sheet name="2024 PIKJ" sheetId="3" r:id="rId3"/>
    <sheet name="2023 PIKJ " sheetId="4" r:id="rId4"/>
    <sheet name="W PnP" sheetId="8" r:id="rId5"/>
    <sheet name="2025 SHPJ(Shoprite)" sheetId="15" r:id="rId6"/>
    <sheet name="2024 SHPJ" sheetId="18" r:id="rId7"/>
    <sheet name="2023 SHPJ" sheetId="17" r:id="rId8"/>
    <sheet name="W SP" sheetId="9" r:id="rId9"/>
    <sheet name="Spar 2025 SPPJ" sheetId="20" r:id="rId10"/>
    <sheet name="2024 SPPJ" sheetId="19" r:id="rId11"/>
    <sheet name="2023 SPPJ" sheetId="16" r:id="rId12"/>
    <sheet name="W Spar" sheetId="11" r:id="rId13"/>
    <sheet name="Woolworths 2025 WHLJ" sheetId="21" r:id="rId14"/>
    <sheet name="2024 WHLJ" sheetId="22" r:id="rId15"/>
    <sheet name="2023 WHLJ" sheetId="23" r:id="rId16"/>
    <sheet name="W Woolworths" sheetId="10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23" l="1"/>
  <c r="K25" i="23"/>
  <c r="K24" i="23"/>
  <c r="K27" i="23" s="1"/>
  <c r="K26" i="22"/>
  <c r="K25" i="22"/>
  <c r="K24" i="22"/>
  <c r="K27" i="22" s="1"/>
  <c r="K27" i="21"/>
  <c r="K26" i="21"/>
  <c r="K25" i="21"/>
  <c r="K24" i="21"/>
  <c r="K26" i="16"/>
  <c r="K25" i="16"/>
  <c r="K24" i="16"/>
  <c r="K27" i="16" s="1"/>
  <c r="K26" i="19"/>
  <c r="K25" i="19"/>
  <c r="K24" i="19"/>
  <c r="K27" i="19" s="1"/>
  <c r="K26" i="20"/>
  <c r="K25" i="20"/>
  <c r="K24" i="20"/>
  <c r="K27" i="20" s="1"/>
  <c r="K26" i="17"/>
  <c r="K25" i="17"/>
  <c r="K24" i="17"/>
  <c r="K27" i="17" s="1"/>
  <c r="K25" i="18"/>
  <c r="K26" i="18"/>
  <c r="K24" i="18"/>
  <c r="K26" i="15"/>
  <c r="K25" i="15"/>
  <c r="K24" i="15"/>
  <c r="K27" i="18" l="1"/>
  <c r="K27" i="15"/>
  <c r="C12" i="23" l="1"/>
  <c r="C11" i="23"/>
  <c r="C10" i="23"/>
  <c r="C9" i="23"/>
  <c r="C8" i="23"/>
  <c r="C7" i="23"/>
  <c r="C6" i="23"/>
  <c r="C5" i="23"/>
  <c r="C4" i="23"/>
  <c r="C3" i="23"/>
  <c r="C2" i="23"/>
  <c r="C12" i="22"/>
  <c r="C11" i="22"/>
  <c r="C10" i="22"/>
  <c r="C9" i="22"/>
  <c r="C8" i="22"/>
  <c r="C7" i="22"/>
  <c r="C6" i="22"/>
  <c r="C5" i="22"/>
  <c r="C4" i="22"/>
  <c r="C3" i="22"/>
  <c r="C2" i="22"/>
  <c r="C12" i="21"/>
  <c r="C11" i="21"/>
  <c r="C10" i="21"/>
  <c r="C9" i="21"/>
  <c r="C8" i="21"/>
  <c r="C7" i="21"/>
  <c r="C6" i="21"/>
  <c r="C5" i="21"/>
  <c r="C4" i="21"/>
  <c r="C3" i="21"/>
  <c r="C2" i="21"/>
  <c r="C12" i="16"/>
  <c r="C11" i="16"/>
  <c r="C10" i="16"/>
  <c r="C9" i="16"/>
  <c r="C8" i="16"/>
  <c r="C7" i="16"/>
  <c r="C6" i="16"/>
  <c r="C5" i="16"/>
  <c r="C4" i="16"/>
  <c r="C3" i="16"/>
  <c r="C2" i="16"/>
  <c r="C12" i="19"/>
  <c r="C11" i="19"/>
  <c r="C10" i="19"/>
  <c r="C9" i="19"/>
  <c r="C8" i="19"/>
  <c r="C7" i="19"/>
  <c r="C6" i="19"/>
  <c r="C5" i="19"/>
  <c r="C4" i="19"/>
  <c r="C3" i="19"/>
  <c r="C2" i="19"/>
  <c r="C12" i="20"/>
  <c r="C11" i="20"/>
  <c r="C10" i="20"/>
  <c r="C9" i="20"/>
  <c r="C8" i="20"/>
  <c r="C7" i="20"/>
  <c r="C6" i="20"/>
  <c r="C5" i="20"/>
  <c r="C4" i="20"/>
  <c r="C3" i="20"/>
  <c r="C2" i="20"/>
  <c r="C12" i="17"/>
  <c r="C11" i="17"/>
  <c r="C10" i="17"/>
  <c r="C9" i="17"/>
  <c r="C8" i="17"/>
  <c r="C7" i="17"/>
  <c r="C6" i="17"/>
  <c r="C5" i="17"/>
  <c r="C4" i="17"/>
  <c r="C3" i="17"/>
  <c r="C2" i="17"/>
  <c r="C12" i="18"/>
  <c r="C11" i="18"/>
  <c r="C10" i="18"/>
  <c r="C9" i="18"/>
  <c r="C8" i="18"/>
  <c r="C7" i="18"/>
  <c r="C6" i="18"/>
  <c r="C5" i="18"/>
  <c r="C4" i="18"/>
  <c r="C3" i="18"/>
  <c r="C2" i="18"/>
  <c r="C2" i="15"/>
  <c r="C4" i="15"/>
  <c r="C3" i="15"/>
  <c r="C12" i="15"/>
  <c r="C11" i="15"/>
  <c r="C10" i="15"/>
  <c r="C9" i="15"/>
  <c r="C8" i="15"/>
  <c r="C7" i="15"/>
  <c r="C6" i="15"/>
  <c r="C5" i="15"/>
  <c r="E12" i="23"/>
  <c r="E11" i="23"/>
  <c r="E10" i="23"/>
  <c r="E9" i="23"/>
  <c r="E8" i="23"/>
  <c r="E7" i="23"/>
  <c r="E6" i="23"/>
  <c r="E5" i="23"/>
  <c r="E4" i="23"/>
  <c r="E3" i="23"/>
  <c r="E2" i="23"/>
  <c r="E12" i="22"/>
  <c r="E11" i="22"/>
  <c r="E10" i="22"/>
  <c r="E9" i="22"/>
  <c r="E8" i="22"/>
  <c r="E7" i="22"/>
  <c r="E6" i="22"/>
  <c r="E5" i="22"/>
  <c r="E4" i="22"/>
  <c r="E3" i="22"/>
  <c r="E2" i="22"/>
  <c r="E12" i="21"/>
  <c r="E11" i="21"/>
  <c r="E10" i="21"/>
  <c r="E9" i="21"/>
  <c r="E8" i="21"/>
  <c r="E7" i="21"/>
  <c r="E6" i="21"/>
  <c r="E5" i="21"/>
  <c r="E4" i="21"/>
  <c r="E3" i="21"/>
  <c r="E2" i="21"/>
  <c r="E12" i="16"/>
  <c r="E11" i="16"/>
  <c r="E10" i="16"/>
  <c r="E9" i="16"/>
  <c r="E8" i="16"/>
  <c r="E7" i="16"/>
  <c r="E6" i="16"/>
  <c r="E5" i="16"/>
  <c r="E4" i="16"/>
  <c r="E3" i="16"/>
  <c r="E2" i="16"/>
  <c r="E12" i="19"/>
  <c r="E11" i="19"/>
  <c r="E10" i="19"/>
  <c r="E9" i="19"/>
  <c r="E8" i="19"/>
  <c r="E7" i="19"/>
  <c r="E6" i="19"/>
  <c r="E5" i="19"/>
  <c r="E4" i="19"/>
  <c r="E3" i="19"/>
  <c r="E2" i="19"/>
  <c r="E12" i="20"/>
  <c r="E11" i="20"/>
  <c r="E10" i="20"/>
  <c r="E9" i="20"/>
  <c r="E8" i="20"/>
  <c r="E7" i="20"/>
  <c r="E6" i="20"/>
  <c r="E5" i="20"/>
  <c r="E4" i="20"/>
  <c r="E3" i="20"/>
  <c r="E2" i="20"/>
  <c r="E12" i="17"/>
  <c r="E11" i="17"/>
  <c r="E10" i="17"/>
  <c r="E9" i="17"/>
  <c r="E8" i="17"/>
  <c r="E7" i="17"/>
  <c r="E6" i="17"/>
  <c r="E5" i="17"/>
  <c r="E4" i="17"/>
  <c r="E3" i="17"/>
  <c r="E2" i="17"/>
  <c r="E12" i="18"/>
  <c r="E11" i="18"/>
  <c r="E10" i="18"/>
  <c r="E9" i="18"/>
  <c r="E8" i="18"/>
  <c r="E7" i="18"/>
  <c r="E6" i="18"/>
  <c r="E5" i="18"/>
  <c r="E4" i="18"/>
  <c r="E3" i="18"/>
  <c r="E2" i="18"/>
  <c r="E12" i="15"/>
  <c r="E11" i="15"/>
  <c r="E10" i="15"/>
  <c r="E9" i="15"/>
  <c r="E8" i="15"/>
  <c r="E7" i="15"/>
  <c r="E6" i="15"/>
  <c r="E5" i="15"/>
  <c r="E4" i="15"/>
  <c r="E3" i="15"/>
  <c r="E2" i="15"/>
  <c r="H32" i="8"/>
  <c r="G32" i="8"/>
  <c r="F32" i="8"/>
  <c r="G33" i="9"/>
  <c r="F33" i="9"/>
  <c r="E33" i="9"/>
  <c r="G41" i="11"/>
  <c r="H41" i="11"/>
  <c r="F41" i="11"/>
  <c r="K32" i="4"/>
  <c r="K30" i="4"/>
  <c r="K31" i="4"/>
  <c r="J31" i="3"/>
  <c r="J29" i="3"/>
  <c r="J30" i="3"/>
  <c r="K34" i="2"/>
  <c r="K33" i="2"/>
  <c r="K32" i="2"/>
  <c r="K33" i="4" l="1"/>
  <c r="J32" i="3"/>
  <c r="K35" i="2"/>
  <c r="G22" i="11" l="1"/>
  <c r="H22" i="11"/>
  <c r="F22" i="11"/>
  <c r="F16" i="9"/>
  <c r="G16" i="9"/>
  <c r="E16" i="9"/>
  <c r="G14" i="11"/>
  <c r="H13" i="11"/>
  <c r="H29" i="11" s="1"/>
  <c r="G13" i="11"/>
  <c r="F13" i="11"/>
  <c r="H10" i="11"/>
  <c r="G10" i="11"/>
  <c r="F10" i="11"/>
  <c r="H43" i="11"/>
  <c r="G43" i="11"/>
  <c r="F43" i="11"/>
  <c r="H24" i="11"/>
  <c r="G24" i="11"/>
  <c r="F24" i="11"/>
  <c r="H6" i="11"/>
  <c r="G6" i="11"/>
  <c r="F6" i="11"/>
  <c r="F14" i="11" s="1"/>
  <c r="H34" i="10"/>
  <c r="G34" i="10"/>
  <c r="F34" i="10"/>
  <c r="H15" i="10"/>
  <c r="G15" i="10"/>
  <c r="F15" i="10"/>
  <c r="H9" i="10"/>
  <c r="H20" i="10" s="1"/>
  <c r="G9" i="10"/>
  <c r="F9" i="10"/>
  <c r="H6" i="10"/>
  <c r="G6" i="10"/>
  <c r="F6" i="10"/>
  <c r="G35" i="9"/>
  <c r="F35" i="9"/>
  <c r="E35" i="9"/>
  <c r="G9" i="9"/>
  <c r="G21" i="9" s="1"/>
  <c r="G22" i="9" s="1"/>
  <c r="F9" i="9"/>
  <c r="E9" i="9"/>
  <c r="G6" i="9"/>
  <c r="F6" i="9"/>
  <c r="E6" i="9"/>
  <c r="G34" i="8"/>
  <c r="H34" i="8"/>
  <c r="F33" i="8"/>
  <c r="F34" i="8" s="1"/>
  <c r="F15" i="8"/>
  <c r="G15" i="8"/>
  <c r="H15" i="8"/>
  <c r="F9" i="8"/>
  <c r="G9" i="8"/>
  <c r="H9" i="8"/>
  <c r="F6" i="8"/>
  <c r="G6" i="8"/>
  <c r="H6" i="8"/>
  <c r="H10" i="8" s="1"/>
  <c r="E4" i="3"/>
  <c r="E3" i="3"/>
  <c r="E2" i="3"/>
  <c r="E3" i="4"/>
  <c r="E4" i="4"/>
  <c r="E5" i="4"/>
  <c r="E6" i="4"/>
  <c r="E7" i="4"/>
  <c r="E8" i="4"/>
  <c r="E9" i="4"/>
  <c r="E10" i="4"/>
  <c r="E11" i="4"/>
  <c r="E12" i="4"/>
  <c r="E2" i="4"/>
  <c r="E5" i="3"/>
  <c r="E6" i="3"/>
  <c r="E7" i="3"/>
  <c r="E8" i="3"/>
  <c r="E9" i="3"/>
  <c r="E10" i="3"/>
  <c r="E11" i="3"/>
  <c r="E12" i="3"/>
  <c r="E3" i="2"/>
  <c r="E4" i="2"/>
  <c r="E5" i="2"/>
  <c r="E6" i="2"/>
  <c r="E7" i="2"/>
  <c r="E8" i="2"/>
  <c r="E9" i="2"/>
  <c r="E10" i="2"/>
  <c r="E11" i="2"/>
  <c r="E12" i="2"/>
  <c r="E2" i="2"/>
  <c r="H18" i="5"/>
  <c r="H16" i="5"/>
  <c r="F20" i="10" l="1"/>
  <c r="H14" i="11"/>
  <c r="F37" i="11"/>
  <c r="G37" i="11"/>
  <c r="F29" i="11"/>
  <c r="F30" i="11" s="1"/>
  <c r="H31" i="11"/>
  <c r="H33" i="11" s="1"/>
  <c r="F10" i="10"/>
  <c r="F28" i="10" s="1"/>
  <c r="G18" i="10"/>
  <c r="G19" i="10" s="1"/>
  <c r="H10" i="10"/>
  <c r="H22" i="10" s="1"/>
  <c r="H24" i="10" s="1"/>
  <c r="G20" i="10"/>
  <c r="G21" i="10" s="1"/>
  <c r="G18" i="8"/>
  <c r="G20" i="8"/>
  <c r="G21" i="8" s="1"/>
  <c r="H20" i="8"/>
  <c r="F20" i="8"/>
  <c r="F21" i="8" s="1"/>
  <c r="G10" i="8"/>
  <c r="G22" i="8" s="1"/>
  <c r="G24" i="8" s="1"/>
  <c r="F19" i="9"/>
  <c r="F20" i="9" s="1"/>
  <c r="E10" i="9"/>
  <c r="G10" i="9"/>
  <c r="G23" i="9" s="1"/>
  <c r="G25" i="9" s="1"/>
  <c r="F10" i="9"/>
  <c r="E23" i="9" s="1"/>
  <c r="E19" i="9"/>
  <c r="E20" i="9" s="1"/>
  <c r="H30" i="11"/>
  <c r="F27" i="11"/>
  <c r="G27" i="11"/>
  <c r="H27" i="11"/>
  <c r="G29" i="11"/>
  <c r="F21" i="10"/>
  <c r="H21" i="10"/>
  <c r="F18" i="10"/>
  <c r="H18" i="10"/>
  <c r="G10" i="10"/>
  <c r="E21" i="9"/>
  <c r="F21" i="9"/>
  <c r="E29" i="9"/>
  <c r="G19" i="9"/>
  <c r="H21" i="8"/>
  <c r="H28" i="8"/>
  <c r="H18" i="8"/>
  <c r="F18" i="8"/>
  <c r="H22" i="8"/>
  <c r="H24" i="8" s="1"/>
  <c r="F10" i="8"/>
  <c r="G19" i="8"/>
  <c r="G31" i="11" l="1"/>
  <c r="H37" i="11"/>
  <c r="F31" i="11"/>
  <c r="F33" i="11" s="1"/>
  <c r="H28" i="10"/>
  <c r="G28" i="8"/>
  <c r="G23" i="8"/>
  <c r="G26" i="8" s="1"/>
  <c r="G36" i="8" s="1"/>
  <c r="G29" i="9"/>
  <c r="E24" i="9"/>
  <c r="F29" i="9"/>
  <c r="F23" i="9"/>
  <c r="F24" i="9" s="1"/>
  <c r="H28" i="11"/>
  <c r="H32" i="11"/>
  <c r="G28" i="11"/>
  <c r="G32" i="11"/>
  <c r="G33" i="11"/>
  <c r="G30" i="11"/>
  <c r="F28" i="11"/>
  <c r="G22" i="10"/>
  <c r="G28" i="10"/>
  <c r="H19" i="10"/>
  <c r="H23" i="10"/>
  <c r="F22" i="10"/>
  <c r="F24" i="10" s="1"/>
  <c r="F19" i="10"/>
  <c r="E22" i="9"/>
  <c r="E25" i="9"/>
  <c r="F22" i="9"/>
  <c r="G20" i="9"/>
  <c r="G24" i="9"/>
  <c r="G27" i="9" s="1"/>
  <c r="G37" i="9" s="1"/>
  <c r="F28" i="8"/>
  <c r="F22" i="8"/>
  <c r="F24" i="8" s="1"/>
  <c r="H23" i="8"/>
  <c r="H19" i="8"/>
  <c r="F19" i="8"/>
  <c r="E3" i="5"/>
  <c r="E4" i="5"/>
  <c r="E5" i="5"/>
  <c r="E6" i="5"/>
  <c r="E7" i="5"/>
  <c r="E8" i="5"/>
  <c r="E9" i="5"/>
  <c r="E10" i="5"/>
  <c r="E11" i="5"/>
  <c r="E12" i="5"/>
  <c r="E13" i="5"/>
  <c r="E2" i="5"/>
  <c r="C3" i="3"/>
  <c r="C4" i="3"/>
  <c r="C5" i="3"/>
  <c r="C6" i="3"/>
  <c r="C7" i="3"/>
  <c r="C8" i="3"/>
  <c r="C9" i="3"/>
  <c r="C10" i="3"/>
  <c r="C11" i="3"/>
  <c r="C12" i="3"/>
  <c r="C2" i="3"/>
  <c r="C3" i="2"/>
  <c r="C4" i="2"/>
  <c r="C5" i="2"/>
  <c r="C6" i="2"/>
  <c r="C7" i="2"/>
  <c r="C8" i="2"/>
  <c r="C9" i="2"/>
  <c r="C10" i="2"/>
  <c r="C11" i="2"/>
  <c r="C12" i="2"/>
  <c r="C2" i="2"/>
  <c r="C3" i="5"/>
  <c r="C4" i="5"/>
  <c r="C5" i="5"/>
  <c r="C6" i="5"/>
  <c r="C7" i="5"/>
  <c r="C8" i="5"/>
  <c r="C9" i="5"/>
  <c r="C10" i="5"/>
  <c r="C11" i="5"/>
  <c r="C12" i="5"/>
  <c r="C13" i="5"/>
  <c r="C2" i="5"/>
  <c r="C3" i="4"/>
  <c r="C4" i="4"/>
  <c r="C5" i="4"/>
  <c r="C6" i="4"/>
  <c r="C7" i="4"/>
  <c r="C8" i="4"/>
  <c r="C9" i="4"/>
  <c r="C10" i="4"/>
  <c r="C11" i="4"/>
  <c r="C12" i="4"/>
  <c r="C2" i="4"/>
  <c r="H26" i="10" l="1"/>
  <c r="H36" i="10"/>
  <c r="F32" i="11"/>
  <c r="F35" i="11" s="1"/>
  <c r="F45" i="11" s="1"/>
  <c r="H35" i="11"/>
  <c r="H45" i="11" s="1"/>
  <c r="F23" i="8"/>
  <c r="F26" i="8" s="1"/>
  <c r="F36" i="8" s="1"/>
  <c r="E27" i="9"/>
  <c r="E37" i="9" s="1"/>
  <c r="F25" i="9"/>
  <c r="F27" i="9" s="1"/>
  <c r="F37" i="9" s="1"/>
  <c r="G35" i="11"/>
  <c r="G45" i="11" s="1"/>
  <c r="F23" i="10"/>
  <c r="F26" i="10" s="1"/>
  <c r="F36" i="10" s="1"/>
  <c r="G23" i="10"/>
  <c r="G24" i="10"/>
  <c r="H17" i="5"/>
  <c r="H20" i="5" s="1"/>
  <c r="H26" i="8"/>
  <c r="H36" i="8" s="1"/>
  <c r="G26" i="10" l="1"/>
  <c r="G36" i="10" s="1"/>
</calcChain>
</file>

<file path=xl/sharedStrings.xml><?xml version="1.0" encoding="utf-8"?>
<sst xmlns="http://schemas.openxmlformats.org/spreadsheetml/2006/main" count="626" uniqueCount="112">
  <si>
    <t>Price</t>
  </si>
  <si>
    <t xml:space="preserve">Returns </t>
  </si>
  <si>
    <t>Date</t>
  </si>
  <si>
    <t>Returns</t>
  </si>
  <si>
    <t>2026/03/01,"1,910"</t>
  </si>
  <si>
    <t>2026/02/01,"1,945"</t>
  </si>
  <si>
    <t>2026/01/01,"2,407"</t>
  </si>
  <si>
    <t>2025/12/01,"2,490"</t>
  </si>
  <si>
    <t>2025/11/01,"2,617"</t>
  </si>
  <si>
    <t>2025/10/01,"2,830"</t>
  </si>
  <si>
    <t>2025/09/01,"2,539"</t>
  </si>
  <si>
    <t>2025/08/01,"2,758"</t>
  </si>
  <si>
    <t>2025/07/01,"2,835"</t>
  </si>
  <si>
    <t>2025/06/01,"2,680"</t>
  </si>
  <si>
    <t>2025/05/01,"2,721"</t>
  </si>
  <si>
    <t>2025/04/01,"2,797"</t>
  </si>
  <si>
    <t>2025/03/01,"2,743"</t>
  </si>
  <si>
    <t>2025/02/01,"2,815"</t>
  </si>
  <si>
    <t>2025/01/01,"2,870"</t>
  </si>
  <si>
    <t>2024/12/01,"3,070"</t>
  </si>
  <si>
    <t>2024/11/01,"3,020"</t>
  </si>
  <si>
    <t>2024/10/01,"2,545"</t>
  </si>
  <si>
    <t>2024/09/01,"2,583"</t>
  </si>
  <si>
    <t>2024/08/01,"2,430"</t>
  </si>
  <si>
    <t>2024/07/01,"2,325"</t>
  </si>
  <si>
    <t>2024/06/01,"2,571"</t>
  </si>
  <si>
    <t>2024/05/01,"2,484"</t>
  </si>
  <si>
    <t>2024/04/01,"2,016"</t>
  </si>
  <si>
    <t>FTSE Price</t>
  </si>
  <si>
    <t>Market returns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</si>
  <si>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</si>
  <si>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</si>
  <si>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</si>
  <si>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</si>
  <si>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</si>
  <si>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</si>
  <si>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</si>
  <si>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</si>
  <si>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</si>
  <si>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</si>
  <si>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</si>
  <si>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</si>
  <si>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</si>
  <si>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</si>
  <si>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</si>
  <si>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</si>
  <si>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</si>
  <si>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</si>
  <si>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</si>
  <si>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</si>
  <si>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</si>
  <si>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</si>
  <si>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</si>
  <si>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</si>
  <si>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</si>
  <si>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Risk free (Bond Yield)</t>
  </si>
  <si>
    <t>Rf(annual -already annual yield)</t>
  </si>
  <si>
    <t>Rm(annual)</t>
  </si>
  <si>
    <t>Beta</t>
  </si>
  <si>
    <t>Ke (Cost of equity)</t>
  </si>
  <si>
    <t>Rf bond yield</t>
  </si>
  <si>
    <t>Market Returns</t>
  </si>
  <si>
    <t>Rf(Bond Yield )</t>
  </si>
  <si>
    <t xml:space="preserve">Market returns </t>
  </si>
  <si>
    <t>Rf(annual)</t>
  </si>
  <si>
    <t>Bond Yield</t>
  </si>
  <si>
    <t xml:space="preserve">Bond Yield </t>
  </si>
  <si>
    <t>Ke</t>
  </si>
  <si>
    <t>Year</t>
  </si>
  <si>
    <t>Tax</t>
  </si>
  <si>
    <t>Borrowings(non-current)</t>
  </si>
  <si>
    <t>Bank overdraft/ overnight borrowings(current)</t>
  </si>
  <si>
    <t>Borrowings(current)</t>
  </si>
  <si>
    <t>Funding debt sub total</t>
  </si>
  <si>
    <t>Lease liabilities(non current)</t>
  </si>
  <si>
    <t>Lease liabilities(current)</t>
  </si>
  <si>
    <t xml:space="preserve">Lease liabilities subtotal </t>
  </si>
  <si>
    <t xml:space="preserve">Total interest bearing debt </t>
  </si>
  <si>
    <t xml:space="preserve">Expenses </t>
  </si>
  <si>
    <t>Funding finance expense</t>
  </si>
  <si>
    <t>Leases finance expense</t>
  </si>
  <si>
    <t xml:space="preserve">Total finance costs </t>
  </si>
  <si>
    <t>Cost of debt per category</t>
  </si>
  <si>
    <t>Average funding debt</t>
  </si>
  <si>
    <t>Average lease liabilities</t>
  </si>
  <si>
    <t xml:space="preserve">Average total interest bearing debt </t>
  </si>
  <si>
    <t>Average funding debt (Cost %)</t>
  </si>
  <si>
    <t>Average lease liabilities(Cost %)</t>
  </si>
  <si>
    <t>Weight (funding)</t>
  </si>
  <si>
    <t>Weight (leases)</t>
  </si>
  <si>
    <t>Weighted Cost of Debt(Kd)</t>
  </si>
  <si>
    <t>Cost of equity (Ke)</t>
  </si>
  <si>
    <t>D(market debt same as total interest bearing debt)</t>
  </si>
  <si>
    <t xml:space="preserve">Tax rate </t>
  </si>
  <si>
    <t>Number of Ordinary shares issued</t>
  </si>
  <si>
    <t xml:space="preserve">Treasyry shares issued </t>
  </si>
  <si>
    <t xml:space="preserve">Share price </t>
  </si>
  <si>
    <t>Market equity</t>
  </si>
  <si>
    <t>WACC</t>
  </si>
  <si>
    <t>Rm</t>
  </si>
  <si>
    <t>Other interest debt</t>
  </si>
  <si>
    <t>Block discount loan non current</t>
  </si>
  <si>
    <t>block discount loan  current</t>
  </si>
  <si>
    <t xml:space="preserve">total other </t>
  </si>
  <si>
    <t>Borrowing costs capitalised</t>
  </si>
  <si>
    <t>Loans</t>
  </si>
  <si>
    <t>Security deposits</t>
  </si>
  <si>
    <t>Block discounting loan payable</t>
  </si>
  <si>
    <t>Bank overdraft</t>
  </si>
  <si>
    <t xml:space="preserve">Other </t>
  </si>
  <si>
    <t>Funding finance expense subtotal</t>
  </si>
  <si>
    <t xml:space="preserve">Outstanding Shares issued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</si>
</sst>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3" fontId="0" fillId="0" borderId="0" xfId="0" applyNumberFormat="1"/>
    <xf numFmtId="14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0" fillId="33" borderId="0" xfId="0" applyFill="1"/>
    <xf numFmtId="0" fontId="0" fillId="34" borderId="0" xfId="0" applyFill="1"/>
    <xf numFmtId="4" fontId="0" fillId="0" borderId="0" xfId="0" applyNumberFormat="1"/>
    <xf numFmtId="3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299E-9E32-4688-8C6A-167CDC1FE1D1}">
  <dimension ref="A1:J33"/>
  <sheetViews>
    <sheetView topLeftCell="A16" workbookViewId="0">
      <selection sqref="A1:K33"/>
    </sheetView>
  </sheetViews>
  <sheetFormatPr defaultRowHeight="15" x14ac:dyDescent="0.25"/>
  <cols>
    <col min="5" max="5" width="15.5703125" customWidth="1"/>
    <col min="6" max="6" width="19.7109375" customWidth="1"/>
  </cols>
  <sheetData>
    <row r="1" spans="1:8" x14ac:dyDescent="0.25">
      <c r="A1" t="s">
        <v>2</v>
      </c>
      <c r="B1" t="s">
        <v>0</v>
      </c>
      <c r="C1" t="s">
        <v>3</v>
      </c>
      <c r="D1" t="s">
        <v>28</v>
      </c>
      <c r="E1" t="s">
        <v>29</v>
      </c>
      <c r="G1" t="s">
        <v>55</v>
      </c>
    </row>
    <row r="2" spans="1:8" x14ac:dyDescent="0.25">
      <c r="A2" t="s">
        <v>4</v>
      </c>
      <c r="B2">
        <v>1910</v>
      </c>
      <c r="C2">
        <f>B2/B3-1</f>
        <v>-1.7994858611825149E-2</v>
      </c>
      <c r="D2">
        <v>114067.56</v>
      </c>
      <c r="E2">
        <f>D2/D3-1</f>
        <v>-0.112008437462633</v>
      </c>
      <c r="G2">
        <v>9.1649999999999991</v>
      </c>
    </row>
    <row r="3" spans="1:8" x14ac:dyDescent="0.25">
      <c r="A3" t="s">
        <v>5</v>
      </c>
      <c r="B3">
        <v>1945</v>
      </c>
      <c r="C3">
        <f t="shared" ref="C3:C13" si="0">B3/B4-1</f>
        <v>-0.19194017449106771</v>
      </c>
      <c r="D3">
        <v>128455.67999999999</v>
      </c>
      <c r="E3">
        <f t="shared" ref="E3:E13" si="1">D3/D4-1</f>
        <v>7.0056219409053488E-2</v>
      </c>
      <c r="G3">
        <v>7.97</v>
      </c>
    </row>
    <row r="4" spans="1:8" x14ac:dyDescent="0.25">
      <c r="A4" t="s">
        <v>6</v>
      </c>
      <c r="B4">
        <v>2407</v>
      </c>
      <c r="C4">
        <f t="shared" si="0"/>
        <v>-3.3333333333333326E-2</v>
      </c>
      <c r="D4">
        <v>120045.73</v>
      </c>
      <c r="E4">
        <f t="shared" si="1"/>
        <v>3.6375438694636664E-2</v>
      </c>
      <c r="G4">
        <v>8.0350000000000001</v>
      </c>
    </row>
    <row r="5" spans="1:8" x14ac:dyDescent="0.25">
      <c r="A5" t="s">
        <v>7</v>
      </c>
      <c r="B5">
        <v>2490</v>
      </c>
      <c r="C5">
        <f t="shared" si="0"/>
        <v>-4.8528849828047393E-2</v>
      </c>
      <c r="D5">
        <v>115832.28</v>
      </c>
      <c r="E5">
        <f t="shared" si="1"/>
        <v>4.3924256012450202E-2</v>
      </c>
      <c r="G5">
        <v>8.2100000000000009</v>
      </c>
    </row>
    <row r="6" spans="1:8" x14ac:dyDescent="0.25">
      <c r="A6" t="s">
        <v>8</v>
      </c>
      <c r="B6">
        <v>2617</v>
      </c>
      <c r="C6">
        <f t="shared" si="0"/>
        <v>-7.5265017667844547E-2</v>
      </c>
      <c r="D6">
        <v>110958.51</v>
      </c>
      <c r="E6">
        <f t="shared" si="1"/>
        <v>1.5698408217381443E-2</v>
      </c>
      <c r="G6">
        <v>8.4949999999999992</v>
      </c>
    </row>
    <row r="7" spans="1:8" x14ac:dyDescent="0.25">
      <c r="A7" t="s">
        <v>9</v>
      </c>
      <c r="B7">
        <v>2830</v>
      </c>
      <c r="C7">
        <f t="shared" si="0"/>
        <v>0.11461205198897195</v>
      </c>
      <c r="D7">
        <v>109243.56</v>
      </c>
      <c r="E7">
        <f t="shared" si="1"/>
        <v>1.2072208683896912E-2</v>
      </c>
      <c r="G7">
        <v>8.8650000000000002</v>
      </c>
    </row>
    <row r="8" spans="1:8" x14ac:dyDescent="0.25">
      <c r="A8" t="s">
        <v>10</v>
      </c>
      <c r="B8">
        <v>2539</v>
      </c>
      <c r="C8">
        <f t="shared" si="0"/>
        <v>-7.9405366207396688E-2</v>
      </c>
      <c r="D8">
        <v>107940.48</v>
      </c>
      <c r="E8">
        <f t="shared" si="1"/>
        <v>5.9948491485147803E-2</v>
      </c>
      <c r="G8">
        <v>9.18</v>
      </c>
    </row>
    <row r="9" spans="1:8" x14ac:dyDescent="0.25">
      <c r="A9" t="s">
        <v>11</v>
      </c>
      <c r="B9">
        <v>2758</v>
      </c>
      <c r="C9">
        <f t="shared" si="0"/>
        <v>-2.7160493827160459E-2</v>
      </c>
      <c r="D9">
        <v>101835.59</v>
      </c>
      <c r="E9">
        <f t="shared" si="1"/>
        <v>3.365911990427084E-2</v>
      </c>
      <c r="G9">
        <v>9.6050000000000004</v>
      </c>
    </row>
    <row r="10" spans="1:8" x14ac:dyDescent="0.25">
      <c r="A10" t="s">
        <v>12</v>
      </c>
      <c r="B10">
        <v>2835</v>
      </c>
      <c r="C10">
        <f t="shared" si="0"/>
        <v>5.7835820895522305E-2</v>
      </c>
      <c r="D10">
        <v>98519.51</v>
      </c>
      <c r="E10">
        <f t="shared" si="1"/>
        <v>2.1671426263308202E-2</v>
      </c>
      <c r="G10">
        <v>9.6300000000000008</v>
      </c>
    </row>
    <row r="11" spans="1:8" x14ac:dyDescent="0.25">
      <c r="A11" t="s">
        <v>13</v>
      </c>
      <c r="B11">
        <v>2680</v>
      </c>
      <c r="C11">
        <f t="shared" si="0"/>
        <v>-1.5067989709665608E-2</v>
      </c>
      <c r="D11">
        <v>96429.74</v>
      </c>
      <c r="E11">
        <f t="shared" si="1"/>
        <v>2.2250411424302063E-2</v>
      </c>
      <c r="G11">
        <v>9.9499999999999993</v>
      </c>
    </row>
    <row r="12" spans="1:8" x14ac:dyDescent="0.25">
      <c r="A12" t="s">
        <v>14</v>
      </c>
      <c r="B12">
        <v>2721</v>
      </c>
      <c r="C12">
        <f t="shared" si="0"/>
        <v>-2.7171969967822673E-2</v>
      </c>
      <c r="D12">
        <v>94330.84</v>
      </c>
      <c r="E12">
        <f t="shared" si="1"/>
        <v>2.9999435487155335E-2</v>
      </c>
      <c r="G12">
        <v>10.14</v>
      </c>
    </row>
    <row r="13" spans="1:8" x14ac:dyDescent="0.25">
      <c r="A13" t="s">
        <v>15</v>
      </c>
      <c r="B13">
        <v>2797</v>
      </c>
      <c r="C13">
        <f t="shared" si="0"/>
        <v>1.9686474662778064E-2</v>
      </c>
      <c r="D13">
        <v>91583.39</v>
      </c>
      <c r="E13">
        <f t="shared" si="1"/>
        <v>3.3235838801770612E-2</v>
      </c>
      <c r="G13">
        <v>10.605</v>
      </c>
    </row>
    <row r="14" spans="1:8" x14ac:dyDescent="0.25">
      <c r="A14" t="s">
        <v>16</v>
      </c>
      <c r="B14">
        <v>2743</v>
      </c>
      <c r="D14">
        <v>88637.45</v>
      </c>
      <c r="G14">
        <v>10.484999999999999</v>
      </c>
    </row>
    <row r="16" spans="1:8" x14ac:dyDescent="0.25">
      <c r="B16" t="s">
        <v>30</v>
      </c>
      <c r="G16" s="6" t="s">
        <v>56</v>
      </c>
      <c r="H16" s="6">
        <f>AVERAGE(G2:G14)</f>
        <v>9.2565384615384616</v>
      </c>
    </row>
    <row r="17" spans="2:10" ht="15.75" thickBot="1" x14ac:dyDescent="0.3">
      <c r="G17" s="6" t="s">
        <v>57</v>
      </c>
      <c r="H17" s="6">
        <f>(1+AVERAGE(E2:E13))^(12)-1</f>
        <v>0.30207393787683978</v>
      </c>
    </row>
    <row r="18" spans="2:10" x14ac:dyDescent="0.25">
      <c r="B18" s="5" t="s">
        <v>31</v>
      </c>
      <c r="C18" s="5"/>
      <c r="G18" s="6" t="s">
        <v>58</v>
      </c>
      <c r="H18" s="6">
        <f>C33</f>
        <v>-0.53765721790295906</v>
      </c>
    </row>
    <row r="19" spans="2:10" x14ac:dyDescent="0.25">
      <c r="B19" t="s">
        <v>32</v>
      </c>
      <c r="C19">
        <v>0.32531667395877079</v>
      </c>
      <c r="G19" s="6"/>
      <c r="H19" s="6"/>
    </row>
    <row r="20" spans="2:10" x14ac:dyDescent="0.25">
      <c r="B20" t="s">
        <v>33</v>
      </c>
      <c r="C20">
        <v>0.10583093835559719</v>
      </c>
      <c r="G20" s="6" t="s">
        <v>59</v>
      </c>
      <c r="H20" s="6">
        <f>H16+H18*(H17-H16)</f>
        <v>14.070970945141115</v>
      </c>
    </row>
    <row r="21" spans="2:10" x14ac:dyDescent="0.25">
      <c r="B21" t="s">
        <v>34</v>
      </c>
      <c r="C21">
        <v>1.6414032191156912E-2</v>
      </c>
    </row>
    <row r="22" spans="2:10" x14ac:dyDescent="0.25">
      <c r="B22" t="s">
        <v>35</v>
      </c>
      <c r="C22">
        <v>7.4720117128742658E-2</v>
      </c>
    </row>
    <row r="23" spans="2:10" ht="15.75" thickBot="1" x14ac:dyDescent="0.3">
      <c r="B23" s="3" t="s">
        <v>36</v>
      </c>
      <c r="C23" s="3">
        <v>12</v>
      </c>
    </row>
    <row r="25" spans="2:10" ht="15.75" thickBot="1" x14ac:dyDescent="0.3">
      <c r="B25" t="s">
        <v>37</v>
      </c>
    </row>
    <row r="26" spans="2:10" x14ac:dyDescent="0.25">
      <c r="B26" s="4"/>
      <c r="C26" s="4" t="s">
        <v>42</v>
      </c>
      <c r="D26" s="4" t="s">
        <v>43</v>
      </c>
      <c r="E26" s="4" t="s">
        <v>44</v>
      </c>
      <c r="F26" s="4" t="s">
        <v>45</v>
      </c>
      <c r="G26" s="4" t="s">
        <v>46</v>
      </c>
    </row>
    <row r="27" spans="2:10" x14ac:dyDescent="0.25">
      <c r="B27" t="s">
        <v>38</v>
      </c>
      <c r="C27">
        <v>1</v>
      </c>
      <c r="D27">
        <v>6.6079705031925409E-3</v>
      </c>
      <c r="E27">
        <v>6.6079705031925409E-3</v>
      </c>
      <c r="F27">
        <v>1.1835674359049175</v>
      </c>
      <c r="G27">
        <v>0.30215581044429368</v>
      </c>
    </row>
    <row r="28" spans="2:10" x14ac:dyDescent="0.25">
      <c r="B28" t="s">
        <v>39</v>
      </c>
      <c r="C28">
        <v>10</v>
      </c>
      <c r="D28">
        <v>5.5830959037330222E-2</v>
      </c>
      <c r="E28">
        <v>5.5830959037330222E-3</v>
      </c>
    </row>
    <row r="29" spans="2:10" ht="15.75" thickBot="1" x14ac:dyDescent="0.3">
      <c r="B29" s="3" t="s">
        <v>40</v>
      </c>
      <c r="C29" s="3">
        <v>11</v>
      </c>
      <c r="D29" s="3">
        <v>6.2438929540522763E-2</v>
      </c>
      <c r="E29" s="3"/>
      <c r="F29" s="3"/>
      <c r="G29" s="3"/>
    </row>
    <row r="30" spans="2:10" ht="15.75" thickBot="1" x14ac:dyDescent="0.3"/>
    <row r="31" spans="2:10" x14ac:dyDescent="0.25">
      <c r="B31" s="4"/>
      <c r="C31" s="4" t="s">
        <v>47</v>
      </c>
      <c r="D31" s="4" t="s">
        <v>35</v>
      </c>
      <c r="E31" s="4" t="s">
        <v>48</v>
      </c>
      <c r="F31" s="4" t="s">
        <v>49</v>
      </c>
      <c r="G31" s="4" t="s">
        <v>50</v>
      </c>
      <c r="H31" s="4" t="s">
        <v>51</v>
      </c>
      <c r="I31" s="4" t="s">
        <v>52</v>
      </c>
      <c r="J31" s="4" t="s">
        <v>53</v>
      </c>
    </row>
    <row r="32" spans="2:10" x14ac:dyDescent="0.25">
      <c r="B32" t="s">
        <v>41</v>
      </c>
      <c r="C32">
        <v>-1.502018610376509E-2</v>
      </c>
      <c r="D32">
        <v>2.4208805588888299E-2</v>
      </c>
      <c r="E32">
        <v>-0.62044308830582162</v>
      </c>
      <c r="F32">
        <v>0.54884409047635929</v>
      </c>
      <c r="G32">
        <v>-6.8960766396549564E-2</v>
      </c>
      <c r="H32">
        <v>3.8920394189019387E-2</v>
      </c>
      <c r="I32">
        <v>-6.8960766396549564E-2</v>
      </c>
      <c r="J32">
        <v>3.8920394189019387E-2</v>
      </c>
    </row>
    <row r="33" spans="2:10" ht="15.75" thickBot="1" x14ac:dyDescent="0.3">
      <c r="B33" s="3" t="s">
        <v>54</v>
      </c>
      <c r="C33" s="3">
        <v>-0.53765721790295906</v>
      </c>
      <c r="D33" s="3">
        <v>0.49420709572321486</v>
      </c>
      <c r="E33" s="3">
        <v>-1.0879188553862424</v>
      </c>
      <c r="F33" s="3">
        <v>0.30215581044429463</v>
      </c>
      <c r="G33" s="3">
        <v>-1.6388192488111539</v>
      </c>
      <c r="H33" s="3">
        <v>0.56350481300523581</v>
      </c>
      <c r="I33" s="3">
        <v>-1.6388192488111539</v>
      </c>
      <c r="J33" s="3">
        <v>0.56350481300523581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3AC6-065B-478B-803F-1D5AFB850884}">
  <dimension ref="A1:K41"/>
  <sheetViews>
    <sheetView workbookViewId="0">
      <selection activeCell="A2" sqref="A2"/>
    </sheetView>
  </sheetViews>
  <sheetFormatPr defaultRowHeight="15" x14ac:dyDescent="0.25"/>
  <cols>
    <col min="6" max="6" width="20.140625" customWidth="1"/>
    <col min="7" max="7" width="14.28515625" customWidth="1"/>
  </cols>
  <sheetData>
    <row r="1" spans="1:8" x14ac:dyDescent="0.25">
      <c r="A1" t="s">
        <v>2</v>
      </c>
      <c r="B1" t="s">
        <v>0</v>
      </c>
      <c r="C1" t="s">
        <v>3</v>
      </c>
      <c r="D1" t="s">
        <v>28</v>
      </c>
      <c r="E1" t="s">
        <v>1</v>
      </c>
      <c r="G1" t="s">
        <v>60</v>
      </c>
      <c r="H1" t="s">
        <v>65</v>
      </c>
    </row>
    <row r="2" spans="1:8" x14ac:dyDescent="0.25">
      <c r="A2" t="s">
        <v>16</v>
      </c>
      <c r="B2">
        <v>2743</v>
      </c>
      <c r="C2">
        <f>B2/B3-1</f>
        <v>-2.5577264653641185E-2</v>
      </c>
      <c r="D2">
        <v>114067.56</v>
      </c>
      <c r="E2">
        <f>D2/D3-1</f>
        <v>-0.112008437462633</v>
      </c>
      <c r="H2">
        <v>7.5750000000000002</v>
      </c>
    </row>
    <row r="3" spans="1:8" x14ac:dyDescent="0.25">
      <c r="A3" t="s">
        <v>17</v>
      </c>
      <c r="B3">
        <v>2815</v>
      </c>
      <c r="C3">
        <f t="shared" ref="C3:C12" si="0">B3/B4-1</f>
        <v>-1.9163763066202044E-2</v>
      </c>
      <c r="D3">
        <v>128455.67999999999</v>
      </c>
      <c r="E3">
        <f t="shared" ref="E3:E12" si="1">D3/D4-1</f>
        <v>7.0056219409053488E-2</v>
      </c>
      <c r="H3">
        <v>7.5750000000000002</v>
      </c>
    </row>
    <row r="4" spans="1:8" x14ac:dyDescent="0.25">
      <c r="A4" t="s">
        <v>18</v>
      </c>
      <c r="B4">
        <v>2870</v>
      </c>
      <c r="C4">
        <f t="shared" si="0"/>
        <v>-6.514657980456029E-2</v>
      </c>
      <c r="D4">
        <v>120045.73</v>
      </c>
      <c r="E4">
        <f t="shared" si="1"/>
        <v>3.6375438694636664E-2</v>
      </c>
      <c r="H4">
        <v>7.55</v>
      </c>
    </row>
    <row r="5" spans="1:8" x14ac:dyDescent="0.25">
      <c r="A5" t="s">
        <v>19</v>
      </c>
      <c r="B5">
        <v>3070</v>
      </c>
      <c r="C5">
        <f t="shared" si="0"/>
        <v>1.655629139072845E-2</v>
      </c>
      <c r="D5">
        <v>115832.28</v>
      </c>
      <c r="E5">
        <f t="shared" si="1"/>
        <v>4.3924256012450202E-2</v>
      </c>
      <c r="H5">
        <v>7.4</v>
      </c>
    </row>
    <row r="6" spans="1:8" x14ac:dyDescent="0.25">
      <c r="A6" t="s">
        <v>20</v>
      </c>
      <c r="B6">
        <v>3020</v>
      </c>
      <c r="C6">
        <f t="shared" si="0"/>
        <v>0.18664047151277008</v>
      </c>
      <c r="D6">
        <v>110958.51</v>
      </c>
      <c r="E6">
        <f t="shared" si="1"/>
        <v>1.5698408217381443E-2</v>
      </c>
      <c r="H6">
        <v>7.2750000000000004</v>
      </c>
    </row>
    <row r="7" spans="1:8" x14ac:dyDescent="0.25">
      <c r="A7" t="s">
        <v>21</v>
      </c>
      <c r="B7">
        <v>2545</v>
      </c>
      <c r="C7">
        <f t="shared" si="0"/>
        <v>-1.4711575687185396E-2</v>
      </c>
      <c r="D7">
        <v>109243.56</v>
      </c>
      <c r="E7">
        <f t="shared" si="1"/>
        <v>1.2072208683896912E-2</v>
      </c>
      <c r="H7">
        <v>7.2</v>
      </c>
    </row>
    <row r="8" spans="1:8" x14ac:dyDescent="0.25">
      <c r="A8" t="s">
        <v>22</v>
      </c>
      <c r="B8">
        <v>2583</v>
      </c>
      <c r="C8">
        <f t="shared" si="0"/>
        <v>6.2962962962962887E-2</v>
      </c>
      <c r="D8">
        <v>107940.48</v>
      </c>
      <c r="E8">
        <f t="shared" si="1"/>
        <v>5.9948491485147803E-2</v>
      </c>
      <c r="H8">
        <v>7.22</v>
      </c>
    </row>
    <row r="9" spans="1:8" x14ac:dyDescent="0.25">
      <c r="A9" t="s">
        <v>23</v>
      </c>
      <c r="B9">
        <v>2430</v>
      </c>
      <c r="C9">
        <f t="shared" si="0"/>
        <v>4.5161290322580649E-2</v>
      </c>
      <c r="D9">
        <v>101835.59</v>
      </c>
      <c r="E9">
        <f t="shared" si="1"/>
        <v>3.365911990427084E-2</v>
      </c>
      <c r="H9">
        <v>6.88</v>
      </c>
    </row>
    <row r="10" spans="1:8" x14ac:dyDescent="0.25">
      <c r="A10" t="s">
        <v>24</v>
      </c>
      <c r="B10">
        <v>2325</v>
      </c>
      <c r="C10">
        <f t="shared" si="0"/>
        <v>-9.5682613768961478E-2</v>
      </c>
      <c r="D10">
        <v>98519.51</v>
      </c>
      <c r="E10">
        <f t="shared" si="1"/>
        <v>2.1671426263308202E-2</v>
      </c>
      <c r="H10">
        <v>6.84</v>
      </c>
    </row>
    <row r="11" spans="1:8" x14ac:dyDescent="0.25">
      <c r="A11" t="s">
        <v>25</v>
      </c>
      <c r="B11">
        <v>2571</v>
      </c>
      <c r="C11">
        <f t="shared" si="0"/>
        <v>3.5024154589371914E-2</v>
      </c>
      <c r="D11">
        <v>96429.74</v>
      </c>
      <c r="E11">
        <f t="shared" si="1"/>
        <v>2.2250411424302063E-2</v>
      </c>
      <c r="H11">
        <v>5.9</v>
      </c>
    </row>
    <row r="12" spans="1:8" x14ac:dyDescent="0.25">
      <c r="A12" t="s">
        <v>26</v>
      </c>
      <c r="B12">
        <v>2484</v>
      </c>
      <c r="C12">
        <f t="shared" si="0"/>
        <v>0.23214285714285721</v>
      </c>
      <c r="D12">
        <v>94330.84</v>
      </c>
      <c r="E12">
        <f t="shared" si="1"/>
        <v>2.9999435487155335E-2</v>
      </c>
      <c r="H12">
        <v>5.57</v>
      </c>
    </row>
    <row r="13" spans="1:8" x14ac:dyDescent="0.25">
      <c r="A13" t="s">
        <v>27</v>
      </c>
      <c r="B13">
        <v>2016</v>
      </c>
      <c r="D13">
        <v>91583.39</v>
      </c>
      <c r="H13">
        <v>5.5</v>
      </c>
    </row>
    <row r="16" spans="1:8" ht="15.75" thickBot="1" x14ac:dyDescent="0.3"/>
    <row r="17" spans="2:11" ht="15.75" thickBot="1" x14ac:dyDescent="0.3">
      <c r="B17" s="5"/>
      <c r="C17" s="5"/>
    </row>
    <row r="18" spans="2:11" ht="15.75" thickBot="1" x14ac:dyDescent="0.3">
      <c r="B18" s="5"/>
      <c r="C18" s="5"/>
    </row>
    <row r="19" spans="2:11" ht="15.75" thickBot="1" x14ac:dyDescent="0.3">
      <c r="B19" s="5"/>
      <c r="C19" s="5"/>
    </row>
    <row r="20" spans="2:11" ht="15.75" thickBot="1" x14ac:dyDescent="0.3">
      <c r="B20" s="5"/>
      <c r="C20" s="5"/>
    </row>
    <row r="21" spans="2:11" ht="15.75" thickBot="1" x14ac:dyDescent="0.3">
      <c r="B21" s="5"/>
      <c r="C21" s="5"/>
    </row>
    <row r="22" spans="2:11" x14ac:dyDescent="0.25">
      <c r="B22" s="5"/>
      <c r="C22" s="5"/>
    </row>
    <row r="24" spans="2:11" x14ac:dyDescent="0.25">
      <c r="B24" t="s">
        <v>30</v>
      </c>
    </row>
    <row r="25" spans="2:11" ht="15.75" thickBot="1" x14ac:dyDescent="0.3"/>
    <row r="26" spans="2:11" x14ac:dyDescent="0.25">
      <c r="B26" s="5" t="s">
        <v>31</v>
      </c>
      <c r="C26" s="5"/>
    </row>
    <row r="27" spans="2:11" x14ac:dyDescent="0.25">
      <c r="B27" t="s">
        <v>32</v>
      </c>
      <c r="C27">
        <v>0.12611306958581861</v>
      </c>
    </row>
    <row r="28" spans="2:11" x14ac:dyDescent="0.25">
      <c r="B28" t="s">
        <v>33</v>
      </c>
      <c r="C28">
        <v>1.5904506320357524E-2</v>
      </c>
    </row>
    <row r="29" spans="2:11" x14ac:dyDescent="0.25">
      <c r="B29" t="s">
        <v>34</v>
      </c>
      <c r="C29">
        <v>-9.3439437421824978E-2</v>
      </c>
    </row>
    <row r="30" spans="2:11" x14ac:dyDescent="0.25">
      <c r="B30" t="s">
        <v>35</v>
      </c>
      <c r="C30">
        <v>0.10414962884543767</v>
      </c>
    </row>
    <row r="31" spans="2:11" ht="15.75" thickBot="1" x14ac:dyDescent="0.3">
      <c r="B31" s="3" t="s">
        <v>36</v>
      </c>
      <c r="C31" s="3">
        <v>11</v>
      </c>
    </row>
    <row r="32" spans="2:11" x14ac:dyDescent="0.25">
      <c r="J32" s="6" t="s">
        <v>64</v>
      </c>
      <c r="K32" s="6">
        <f>AVERAGE(H2:H13)</f>
        <v>6.8737500000000011</v>
      </c>
    </row>
    <row r="33" spans="2:11" ht="15.75" thickBot="1" x14ac:dyDescent="0.3">
      <c r="B33" t="s">
        <v>37</v>
      </c>
      <c r="J33" s="6" t="s">
        <v>58</v>
      </c>
      <c r="K33" s="6">
        <f>C41</f>
        <v>0.2634804758959991</v>
      </c>
    </row>
    <row r="34" spans="2:11" x14ac:dyDescent="0.25">
      <c r="B34" s="4"/>
      <c r="C34" s="4" t="s">
        <v>42</v>
      </c>
      <c r="D34" s="4" t="s">
        <v>43</v>
      </c>
      <c r="E34" s="4" t="s">
        <v>44</v>
      </c>
      <c r="F34" s="4" t="s">
        <v>45</v>
      </c>
      <c r="G34" s="4" t="s">
        <v>46</v>
      </c>
      <c r="J34" s="6" t="s">
        <v>57</v>
      </c>
      <c r="K34" s="6">
        <f>(1+AVERAGE(E2:E12))^(12)-1</f>
        <v>0.2868770049969791</v>
      </c>
    </row>
    <row r="35" spans="2:11" x14ac:dyDescent="0.25">
      <c r="B35" t="s">
        <v>38</v>
      </c>
      <c r="C35">
        <v>1</v>
      </c>
      <c r="D35">
        <v>1.5777598951193239E-3</v>
      </c>
      <c r="E35">
        <v>1.5777598951193239E-3</v>
      </c>
      <c r="F35">
        <v>0.14545392982951202</v>
      </c>
      <c r="G35">
        <v>0.71176589106579735</v>
      </c>
      <c r="J35" s="6" t="s">
        <v>67</v>
      </c>
      <c r="K35" s="6">
        <f>K32+K33*(K34-K32)</f>
        <v>5.1382375686100996</v>
      </c>
    </row>
    <row r="36" spans="2:11" x14ac:dyDescent="0.25">
      <c r="B36" t="s">
        <v>39</v>
      </c>
      <c r="C36">
        <v>9</v>
      </c>
      <c r="D36">
        <v>9.7624306697781799E-2</v>
      </c>
      <c r="E36">
        <v>1.0847145188642422E-2</v>
      </c>
    </row>
    <row r="37" spans="2:11" ht="15.75" thickBot="1" x14ac:dyDescent="0.3">
      <c r="B37" s="3" t="s">
        <v>40</v>
      </c>
      <c r="C37" s="3">
        <v>10</v>
      </c>
      <c r="D37" s="3">
        <v>9.9202066592901122E-2</v>
      </c>
      <c r="E37" s="3"/>
      <c r="F37" s="3"/>
      <c r="G37" s="3"/>
    </row>
    <row r="38" spans="2:11" ht="15.75" thickBot="1" x14ac:dyDescent="0.3"/>
    <row r="39" spans="2:11" x14ac:dyDescent="0.25">
      <c r="B39" s="4"/>
      <c r="C39" s="4" t="s">
        <v>47</v>
      </c>
      <c r="D39" s="4" t="s">
        <v>35</v>
      </c>
      <c r="E39" s="4" t="s">
        <v>48</v>
      </c>
      <c r="F39" s="4" t="s">
        <v>49</v>
      </c>
      <c r="G39" s="4" t="s">
        <v>50</v>
      </c>
      <c r="H39" s="4" t="s">
        <v>51</v>
      </c>
      <c r="I39" s="4" t="s">
        <v>52</v>
      </c>
      <c r="J39" s="4" t="s">
        <v>53</v>
      </c>
    </row>
    <row r="40" spans="2:11" x14ac:dyDescent="0.25">
      <c r="B40" t="s">
        <v>41</v>
      </c>
      <c r="C40">
        <v>2.6967710359479317E-2</v>
      </c>
      <c r="D40">
        <v>3.466172273441108E-2</v>
      </c>
      <c r="E40">
        <v>0.77802567881909146</v>
      </c>
      <c r="F40">
        <v>0.45651912498330682</v>
      </c>
      <c r="G40">
        <v>-5.1442553999094101E-2</v>
      </c>
      <c r="H40">
        <v>0.10537797471805273</v>
      </c>
      <c r="I40">
        <v>-5.1442553999094101E-2</v>
      </c>
      <c r="J40">
        <v>0.10537797471805273</v>
      </c>
    </row>
    <row r="41" spans="2:11" ht="15.75" thickBot="1" x14ac:dyDescent="0.3">
      <c r="B41" s="3" t="s">
        <v>54</v>
      </c>
      <c r="C41" s="3">
        <v>0.2634804758959991</v>
      </c>
      <c r="D41" s="3">
        <v>0.69085309809202411</v>
      </c>
      <c r="E41" s="3">
        <v>0.38138422860615523</v>
      </c>
      <c r="F41" s="3">
        <v>0.71176589106579735</v>
      </c>
      <c r="G41" s="3">
        <v>-1.2993378083942044</v>
      </c>
      <c r="H41" s="3">
        <v>1.8262987601862024</v>
      </c>
      <c r="I41" s="3">
        <v>-1.2993378083942044</v>
      </c>
      <c r="J41" s="3">
        <v>1.8262987601862024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B3157-F8AE-4125-BA4A-34DDC1834273}">
  <dimension ref="A1:J40"/>
  <sheetViews>
    <sheetView workbookViewId="0">
      <selection activeCell="J30" sqref="J30"/>
    </sheetView>
  </sheetViews>
  <sheetFormatPr defaultRowHeight="15" x14ac:dyDescent="0.25"/>
  <cols>
    <col min="1" max="1" width="10.42578125" bestFit="1" customWidth="1"/>
    <col min="9" max="9" width="11.5703125" customWidth="1"/>
  </cols>
  <sheetData>
    <row r="1" spans="1:9" x14ac:dyDescent="0.25">
      <c r="A1" t="s">
        <v>2</v>
      </c>
      <c r="B1" t="s">
        <v>0</v>
      </c>
      <c r="C1" t="s">
        <v>3</v>
      </c>
      <c r="D1" t="s">
        <v>28</v>
      </c>
      <c r="E1" t="s">
        <v>61</v>
      </c>
      <c r="H1" t="s">
        <v>62</v>
      </c>
      <c r="I1" t="s">
        <v>65</v>
      </c>
    </row>
    <row r="2" spans="1:9" x14ac:dyDescent="0.25">
      <c r="A2" s="2">
        <v>45352</v>
      </c>
      <c r="B2">
        <v>1868</v>
      </c>
      <c r="C2">
        <f>B2/B3-1</f>
        <v>-7.7075098814229248E-2</v>
      </c>
      <c r="D2">
        <v>74535.990000000005</v>
      </c>
      <c r="E2">
        <f>(D2/D3)-1</f>
        <v>2.4835235879467898E-2</v>
      </c>
      <c r="I2">
        <v>7.5750000000000002</v>
      </c>
    </row>
    <row r="3" spans="1:9" x14ac:dyDescent="0.25">
      <c r="A3" s="2">
        <v>45323</v>
      </c>
      <c r="B3">
        <v>2024</v>
      </c>
      <c r="C3">
        <f t="shared" ref="C3:C12" si="0">B3/B4-1</f>
        <v>-0.13504273504273501</v>
      </c>
      <c r="D3">
        <v>72729.73</v>
      </c>
      <c r="E3">
        <f>(D3/D4)-1</f>
        <v>-2.4493577769262198E-2</v>
      </c>
      <c r="I3">
        <v>7.5750000000000002</v>
      </c>
    </row>
    <row r="4" spans="1:9" x14ac:dyDescent="0.25">
      <c r="A4" s="2">
        <v>45292</v>
      </c>
      <c r="B4">
        <v>2340</v>
      </c>
      <c r="C4">
        <f t="shared" si="0"/>
        <v>5.5865921787709993E-3</v>
      </c>
      <c r="D4">
        <v>74555.87</v>
      </c>
      <c r="E4">
        <f>(D4/D5)-1</f>
        <v>-3.0396465744998102E-2</v>
      </c>
      <c r="I4">
        <v>7.55</v>
      </c>
    </row>
    <row r="5" spans="1:9" x14ac:dyDescent="0.25">
      <c r="A5" s="2">
        <v>45261</v>
      </c>
      <c r="B5">
        <v>2327</v>
      </c>
      <c r="C5">
        <f t="shared" si="0"/>
        <v>-2.2268907563025242E-2</v>
      </c>
      <c r="D5">
        <v>76893.149999999994</v>
      </c>
      <c r="E5">
        <f t="shared" ref="E5:E12" si="1">D5/D6-1</f>
        <v>1.7989031746611595E-2</v>
      </c>
      <c r="I5">
        <v>7.4</v>
      </c>
    </row>
    <row r="6" spans="1:9" x14ac:dyDescent="0.25">
      <c r="A6" s="2">
        <v>45231</v>
      </c>
      <c r="B6">
        <v>2380</v>
      </c>
      <c r="C6">
        <f t="shared" si="0"/>
        <v>-4.8000000000000043E-2</v>
      </c>
      <c r="D6">
        <v>75534.36</v>
      </c>
      <c r="E6">
        <f t="shared" si="1"/>
        <v>8.4431149416310136E-2</v>
      </c>
      <c r="I6">
        <v>7.2750000000000004</v>
      </c>
    </row>
    <row r="7" spans="1:9" x14ac:dyDescent="0.25">
      <c r="A7" s="2">
        <v>45200</v>
      </c>
      <c r="B7">
        <v>2500</v>
      </c>
      <c r="C7">
        <f t="shared" si="0"/>
        <v>-0.32432432432432434</v>
      </c>
      <c r="D7">
        <v>69653.440000000002</v>
      </c>
      <c r="E7">
        <f t="shared" si="1"/>
        <v>-3.770849713240243E-2</v>
      </c>
      <c r="I7">
        <v>7.2</v>
      </c>
    </row>
    <row r="8" spans="1:9" x14ac:dyDescent="0.25">
      <c r="A8" s="2">
        <v>45170</v>
      </c>
      <c r="B8">
        <v>3700</v>
      </c>
      <c r="C8">
        <f t="shared" si="0"/>
        <v>6.1692969870875247E-2</v>
      </c>
      <c r="D8">
        <v>72382.89</v>
      </c>
      <c r="E8">
        <f t="shared" si="1"/>
        <v>-3.4299026879649586E-2</v>
      </c>
      <c r="I8">
        <v>7.22</v>
      </c>
    </row>
    <row r="9" spans="1:9" x14ac:dyDescent="0.25">
      <c r="A9" s="2">
        <v>45139</v>
      </c>
      <c r="B9">
        <v>3485</v>
      </c>
      <c r="C9">
        <f t="shared" si="0"/>
        <v>-9.4570018186541982E-2</v>
      </c>
      <c r="D9">
        <v>74953.73</v>
      </c>
      <c r="E9">
        <f t="shared" si="1"/>
        <v>-5.0952994565947596E-2</v>
      </c>
      <c r="I9">
        <v>6.88</v>
      </c>
    </row>
    <row r="10" spans="1:9" x14ac:dyDescent="0.25">
      <c r="A10" s="2">
        <v>45108</v>
      </c>
      <c r="B10">
        <v>3849</v>
      </c>
      <c r="C10">
        <f t="shared" si="0"/>
        <v>-1.0030864197530853E-2</v>
      </c>
      <c r="D10">
        <v>78977.89</v>
      </c>
      <c r="E10">
        <f t="shared" si="1"/>
        <v>3.8802370132094977E-2</v>
      </c>
      <c r="I10">
        <v>6.84</v>
      </c>
    </row>
    <row r="11" spans="1:9" x14ac:dyDescent="0.25">
      <c r="A11" s="2">
        <v>45078</v>
      </c>
      <c r="B11">
        <v>3888</v>
      </c>
      <c r="C11">
        <f t="shared" si="0"/>
        <v>0.22921277268416063</v>
      </c>
      <c r="D11">
        <v>76027.83</v>
      </c>
      <c r="E11">
        <f t="shared" si="1"/>
        <v>1.2793291155276831E-2</v>
      </c>
      <c r="I11">
        <v>5.9</v>
      </c>
    </row>
    <row r="12" spans="1:9" x14ac:dyDescent="0.25">
      <c r="A12" s="2">
        <v>45047</v>
      </c>
      <c r="B12">
        <v>3163</v>
      </c>
      <c r="C12">
        <f t="shared" si="0"/>
        <v>-0.27153385536619068</v>
      </c>
      <c r="D12">
        <v>75067.47</v>
      </c>
      <c r="E12">
        <f t="shared" si="1"/>
        <v>-4.0283375887275485E-2</v>
      </c>
      <c r="I12">
        <v>5.57</v>
      </c>
    </row>
    <row r="13" spans="1:9" x14ac:dyDescent="0.25">
      <c r="A13" s="2">
        <v>45017</v>
      </c>
      <c r="B13">
        <v>4342</v>
      </c>
      <c r="D13">
        <v>78218.37</v>
      </c>
      <c r="I13">
        <v>5.5</v>
      </c>
    </row>
    <row r="22" spans="2:10" ht="15.75" thickBot="1" x14ac:dyDescent="0.3">
      <c r="C22" s="3"/>
    </row>
    <row r="23" spans="2:10" x14ac:dyDescent="0.25">
      <c r="B23" t="s">
        <v>30</v>
      </c>
    </row>
    <row r="24" spans="2:10" ht="15.75" thickBot="1" x14ac:dyDescent="0.3"/>
    <row r="25" spans="2:10" x14ac:dyDescent="0.25">
      <c r="B25" s="5" t="s">
        <v>31</v>
      </c>
      <c r="C25" s="5"/>
    </row>
    <row r="26" spans="2:10" x14ac:dyDescent="0.25">
      <c r="B26" t="s">
        <v>32</v>
      </c>
      <c r="C26">
        <v>0.3550802989778486</v>
      </c>
    </row>
    <row r="27" spans="2:10" x14ac:dyDescent="0.25">
      <c r="B27" t="s">
        <v>33</v>
      </c>
      <c r="C27">
        <v>0.12608201872219835</v>
      </c>
    </row>
    <row r="28" spans="2:10" x14ac:dyDescent="0.25">
      <c r="B28" t="s">
        <v>34</v>
      </c>
      <c r="C28">
        <v>2.8980020802442615E-2</v>
      </c>
    </row>
    <row r="29" spans="2:10" x14ac:dyDescent="0.25">
      <c r="B29" t="s">
        <v>35</v>
      </c>
      <c r="C29">
        <v>0.14895187336331503</v>
      </c>
      <c r="I29" s="6" t="s">
        <v>64</v>
      </c>
      <c r="J29" s="6">
        <f>AVERAGE(I2:I13)</f>
        <v>6.8737500000000011</v>
      </c>
    </row>
    <row r="30" spans="2:10" ht="15.75" thickBot="1" x14ac:dyDescent="0.3">
      <c r="B30" s="3" t="s">
        <v>36</v>
      </c>
      <c r="C30" s="3">
        <v>11</v>
      </c>
      <c r="I30" s="6" t="s">
        <v>58</v>
      </c>
      <c r="J30" s="6">
        <f>C40</f>
        <v>1.2672338936639158</v>
      </c>
    </row>
    <row r="31" spans="2:10" x14ac:dyDescent="0.25">
      <c r="I31" s="6" t="s">
        <v>57</v>
      </c>
      <c r="J31" s="6">
        <f>(1+AVERAGE(E2:E12))^(12)-1</f>
        <v>-4.2022253941287224E-2</v>
      </c>
    </row>
    <row r="32" spans="2:10" ht="15.75" thickBot="1" x14ac:dyDescent="0.3">
      <c r="B32" t="s">
        <v>37</v>
      </c>
      <c r="I32" s="6" t="s">
        <v>67</v>
      </c>
      <c r="J32" s="6">
        <f>J29+J30*(J31-J29)</f>
        <v>-1.8901510010548925</v>
      </c>
    </row>
    <row r="33" spans="2:10" x14ac:dyDescent="0.25">
      <c r="B33" s="4"/>
      <c r="C33" s="4" t="s">
        <v>42</v>
      </c>
      <c r="D33" s="4" t="s">
        <v>43</v>
      </c>
      <c r="E33" s="4" t="s">
        <v>44</v>
      </c>
      <c r="F33" s="4" t="s">
        <v>45</v>
      </c>
      <c r="G33" s="4" t="s">
        <v>46</v>
      </c>
    </row>
    <row r="34" spans="2:10" x14ac:dyDescent="0.25">
      <c r="B34" t="s">
        <v>38</v>
      </c>
      <c r="C34">
        <v>1</v>
      </c>
      <c r="D34">
        <v>2.8808253324980604E-2</v>
      </c>
      <c r="E34">
        <v>2.8808253324980604E-2</v>
      </c>
      <c r="F34">
        <v>1.2984492741991926</v>
      </c>
      <c r="G34">
        <v>0.28391519325826609</v>
      </c>
    </row>
    <row r="35" spans="2:10" x14ac:dyDescent="0.25">
      <c r="B35" t="s">
        <v>39</v>
      </c>
      <c r="C35">
        <v>9</v>
      </c>
      <c r="D35">
        <v>0.19967994520596932</v>
      </c>
      <c r="E35">
        <v>2.2186660578441035E-2</v>
      </c>
    </row>
    <row r="36" spans="2:10" ht="15.75" thickBot="1" x14ac:dyDescent="0.3">
      <c r="B36" s="3" t="s">
        <v>40</v>
      </c>
      <c r="C36" s="3">
        <v>10</v>
      </c>
      <c r="D36" s="3">
        <v>0.22848819853094993</v>
      </c>
      <c r="E36" s="3"/>
      <c r="F36" s="3"/>
      <c r="G36" s="3"/>
    </row>
    <row r="37" spans="2:10" ht="15.75" thickBot="1" x14ac:dyDescent="0.3"/>
    <row r="38" spans="2:10" x14ac:dyDescent="0.25">
      <c r="B38" s="4"/>
      <c r="C38" s="4" t="s">
        <v>47</v>
      </c>
      <c r="D38" s="4" t="s">
        <v>35</v>
      </c>
      <c r="E38" s="4" t="s">
        <v>48</v>
      </c>
      <c r="F38" s="4" t="s">
        <v>49</v>
      </c>
      <c r="G38" s="4" t="s">
        <v>50</v>
      </c>
      <c r="H38" s="4" t="s">
        <v>51</v>
      </c>
      <c r="I38" s="4" t="s">
        <v>52</v>
      </c>
      <c r="J38" s="4" t="s">
        <v>53</v>
      </c>
    </row>
    <row r="39" spans="2:10" x14ac:dyDescent="0.25">
      <c r="B39" t="s">
        <v>41</v>
      </c>
      <c r="C39">
        <v>-5.7870263415684936E-2</v>
      </c>
      <c r="D39">
        <v>4.5085939772237155E-2</v>
      </c>
      <c r="E39">
        <v>-1.28355455621045</v>
      </c>
      <c r="F39">
        <v>0.23135902464559044</v>
      </c>
      <c r="G39">
        <v>-0.1598617450129397</v>
      </c>
      <c r="H39">
        <v>4.4121218181569832E-2</v>
      </c>
      <c r="I39">
        <v>-0.1598617450129397</v>
      </c>
      <c r="J39">
        <v>4.4121218181569832E-2</v>
      </c>
    </row>
    <row r="40" spans="2:10" ht="15.75" thickBot="1" x14ac:dyDescent="0.3">
      <c r="B40" s="3" t="s">
        <v>54</v>
      </c>
      <c r="C40" s="3">
        <v>1.2672338936639158</v>
      </c>
      <c r="D40" s="3">
        <v>1.1121011405187229</v>
      </c>
      <c r="E40" s="3">
        <v>1.139495183929794</v>
      </c>
      <c r="F40" s="3">
        <v>0.28391519325826609</v>
      </c>
      <c r="G40" s="3">
        <v>-1.2485136671165664</v>
      </c>
      <c r="H40" s="3">
        <v>3.782981454444398</v>
      </c>
      <c r="I40" s="3">
        <v>-1.2485136671165664</v>
      </c>
      <c r="J40" s="3">
        <v>3.782981454444398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245C8-D614-44B8-9DDB-1A738BC4C755}">
  <dimension ref="A1:K41"/>
  <sheetViews>
    <sheetView topLeftCell="A25" workbookViewId="0">
      <selection activeCell="H1" sqref="H1:H13"/>
    </sheetView>
  </sheetViews>
  <sheetFormatPr defaultRowHeight="15" x14ac:dyDescent="0.25"/>
  <cols>
    <col min="1" max="1" width="10.42578125" bestFit="1" customWidth="1"/>
    <col min="5" max="5" width="14.42578125" customWidth="1"/>
    <col min="9" max="9" width="11.28515625" customWidth="1"/>
  </cols>
  <sheetData>
    <row r="1" spans="1:8" x14ac:dyDescent="0.25">
      <c r="A1" t="s">
        <v>2</v>
      </c>
      <c r="B1" t="s">
        <v>0</v>
      </c>
      <c r="C1" t="s">
        <v>3</v>
      </c>
      <c r="D1" t="s">
        <v>28</v>
      </c>
      <c r="E1" t="s">
        <v>63</v>
      </c>
      <c r="H1" t="s">
        <v>66</v>
      </c>
    </row>
    <row r="2" spans="1:8" x14ac:dyDescent="0.25">
      <c r="A2" s="2">
        <v>44986</v>
      </c>
      <c r="B2">
        <v>4227</v>
      </c>
      <c r="C2">
        <f>B2/B3-1</f>
        <v>-7.8482668410725931E-2</v>
      </c>
      <c r="D2">
        <v>76100.17</v>
      </c>
      <c r="E2">
        <f>D2/D3-1</f>
        <v>-2.101657874488938E-2</v>
      </c>
      <c r="H2">
        <v>7.5750000000000002</v>
      </c>
    </row>
    <row r="3" spans="1:8" x14ac:dyDescent="0.25">
      <c r="A3" s="2">
        <v>44958</v>
      </c>
      <c r="B3">
        <v>4587</v>
      </c>
      <c r="C3">
        <f t="shared" ref="C3:C12" si="0">B3/B4-1</f>
        <v>-0.17795698924731185</v>
      </c>
      <c r="D3">
        <v>77733.87</v>
      </c>
      <c r="E3">
        <f t="shared" ref="E3:E12" si="1">D3/D4-1</f>
        <v>-2.1927586232929119E-2</v>
      </c>
      <c r="H3">
        <v>7.5750000000000002</v>
      </c>
    </row>
    <row r="4" spans="1:8" x14ac:dyDescent="0.25">
      <c r="A4" s="2">
        <v>44927</v>
      </c>
      <c r="B4">
        <v>5580</v>
      </c>
      <c r="C4">
        <f t="shared" si="0"/>
        <v>-1.7432646592709933E-2</v>
      </c>
      <c r="D4">
        <v>79476.600000000006</v>
      </c>
      <c r="E4">
        <f t="shared" si="1"/>
        <v>8.7996657566328684E-2</v>
      </c>
      <c r="H4">
        <v>7.55</v>
      </c>
    </row>
    <row r="5" spans="1:8" x14ac:dyDescent="0.25">
      <c r="A5" s="2">
        <v>44896</v>
      </c>
      <c r="B5">
        <v>5679</v>
      </c>
      <c r="C5">
        <f t="shared" si="0"/>
        <v>-8.7417644223043545E-2</v>
      </c>
      <c r="D5">
        <v>73048.570000000007</v>
      </c>
      <c r="E5">
        <f t="shared" si="1"/>
        <v>-2.378026941786493E-2</v>
      </c>
      <c r="H5">
        <v>7.4</v>
      </c>
    </row>
    <row r="6" spans="1:8" x14ac:dyDescent="0.25">
      <c r="A6" s="2">
        <v>44866</v>
      </c>
      <c r="B6">
        <v>6223</v>
      </c>
      <c r="C6">
        <f t="shared" si="0"/>
        <v>5.4031165311653195E-2</v>
      </c>
      <c r="D6">
        <v>74828</v>
      </c>
      <c r="E6">
        <f t="shared" si="1"/>
        <v>0.12233610537612316</v>
      </c>
      <c r="H6">
        <v>7.2750000000000004</v>
      </c>
    </row>
    <row r="7" spans="1:8" x14ac:dyDescent="0.25">
      <c r="A7" s="2">
        <v>44835</v>
      </c>
      <c r="B7">
        <v>5904</v>
      </c>
      <c r="C7">
        <f t="shared" si="0"/>
        <v>6.4167267483777879E-2</v>
      </c>
      <c r="D7">
        <v>66671.649999999994</v>
      </c>
      <c r="E7">
        <f t="shared" si="1"/>
        <v>4.6217601912677431E-2</v>
      </c>
      <c r="H7">
        <v>7.2</v>
      </c>
    </row>
    <row r="8" spans="1:8" x14ac:dyDescent="0.25">
      <c r="A8" s="2">
        <v>44805</v>
      </c>
      <c r="B8">
        <v>5548</v>
      </c>
      <c r="C8">
        <f t="shared" si="0"/>
        <v>-0.10241061316939004</v>
      </c>
      <c r="D8">
        <v>63726.37</v>
      </c>
      <c r="E8">
        <f t="shared" si="1"/>
        <v>-5.2496582518971158E-2</v>
      </c>
      <c r="H8">
        <v>7.22</v>
      </c>
    </row>
    <row r="9" spans="1:8" x14ac:dyDescent="0.25">
      <c r="A9" s="2">
        <v>44774</v>
      </c>
      <c r="B9">
        <v>6181</v>
      </c>
      <c r="C9">
        <f t="shared" si="0"/>
        <v>0.12137155297532654</v>
      </c>
      <c r="D9">
        <v>67257.14</v>
      </c>
      <c r="E9">
        <f t="shared" si="1"/>
        <v>-2.4325728330616414E-2</v>
      </c>
      <c r="H9">
        <v>6.88</v>
      </c>
    </row>
    <row r="10" spans="1:8" x14ac:dyDescent="0.25">
      <c r="A10" s="2">
        <v>44743</v>
      </c>
      <c r="B10">
        <v>5512</v>
      </c>
      <c r="C10">
        <f t="shared" si="0"/>
        <v>-1.939156733677283E-2</v>
      </c>
      <c r="D10">
        <v>68934.009999999995</v>
      </c>
      <c r="E10">
        <f t="shared" si="1"/>
        <v>4.0932716893794518E-2</v>
      </c>
      <c r="H10">
        <v>6.84</v>
      </c>
    </row>
    <row r="11" spans="1:8" x14ac:dyDescent="0.25">
      <c r="A11" s="2">
        <v>44713</v>
      </c>
      <c r="B11">
        <v>5621</v>
      </c>
      <c r="C11">
        <f t="shared" si="0"/>
        <v>2.1814215597164122E-2</v>
      </c>
      <c r="D11">
        <v>66223.31</v>
      </c>
      <c r="E11">
        <f t="shared" si="1"/>
        <v>-8.1442133122647919E-2</v>
      </c>
      <c r="H11">
        <v>5.9</v>
      </c>
    </row>
    <row r="12" spans="1:8" x14ac:dyDescent="0.25">
      <c r="A12" s="2">
        <v>44682</v>
      </c>
      <c r="B12">
        <v>5501</v>
      </c>
      <c r="C12">
        <f t="shared" si="0"/>
        <v>-4.4467604655202386E-2</v>
      </c>
      <c r="D12">
        <v>72094.87</v>
      </c>
      <c r="E12">
        <f t="shared" si="1"/>
        <v>-4.7403133013291798E-3</v>
      </c>
      <c r="H12">
        <v>5.57</v>
      </c>
    </row>
    <row r="13" spans="1:8" x14ac:dyDescent="0.25">
      <c r="A13" s="2">
        <v>44652</v>
      </c>
      <c r="B13">
        <v>5757</v>
      </c>
      <c r="D13">
        <v>72438.25</v>
      </c>
      <c r="H13">
        <v>5.5</v>
      </c>
    </row>
    <row r="24" spans="2:11" x14ac:dyDescent="0.25">
      <c r="B24" t="s">
        <v>30</v>
      </c>
    </row>
    <row r="25" spans="2:11" ht="15.75" thickBot="1" x14ac:dyDescent="0.3"/>
    <row r="26" spans="2:11" x14ac:dyDescent="0.25">
      <c r="B26" s="5" t="s">
        <v>31</v>
      </c>
      <c r="C26" s="5"/>
    </row>
    <row r="27" spans="2:11" x14ac:dyDescent="0.25">
      <c r="B27" t="s">
        <v>32</v>
      </c>
      <c r="C27">
        <v>0.32850348310023653</v>
      </c>
    </row>
    <row r="28" spans="2:11" x14ac:dyDescent="0.25">
      <c r="B28" t="s">
        <v>33</v>
      </c>
      <c r="C28">
        <v>0.10791453840898739</v>
      </c>
    </row>
    <row r="29" spans="2:11" x14ac:dyDescent="0.25">
      <c r="B29" t="s">
        <v>34</v>
      </c>
      <c r="C29">
        <v>8.7939315655415472E-3</v>
      </c>
    </row>
    <row r="30" spans="2:11" x14ac:dyDescent="0.25">
      <c r="B30" t="s">
        <v>35</v>
      </c>
      <c r="C30">
        <v>8.5885813901217578E-2</v>
      </c>
      <c r="J30" s="6" t="s">
        <v>64</v>
      </c>
      <c r="K30" s="6">
        <f>AVERAGE(H2:H13)</f>
        <v>6.8737500000000011</v>
      </c>
    </row>
    <row r="31" spans="2:11" ht="15.75" thickBot="1" x14ac:dyDescent="0.3">
      <c r="B31" s="3" t="s">
        <v>36</v>
      </c>
      <c r="C31" s="3">
        <v>11</v>
      </c>
      <c r="J31" s="6" t="s">
        <v>58</v>
      </c>
      <c r="K31" s="6">
        <f>C41</f>
        <v>0.4621852805372248</v>
      </c>
    </row>
    <row r="32" spans="2:11" x14ac:dyDescent="0.25">
      <c r="J32" s="6" t="s">
        <v>57</v>
      </c>
      <c r="K32" s="6">
        <f>(1+AVERAGE(E2:E12))^(12)-1</f>
        <v>7.646942212530039E-2</v>
      </c>
    </row>
    <row r="33" spans="2:11" ht="15.75" thickBot="1" x14ac:dyDescent="0.3">
      <c r="B33" t="s">
        <v>37</v>
      </c>
      <c r="J33" s="6" t="s">
        <v>67</v>
      </c>
      <c r="K33" s="6">
        <f>K30+K31*(K32-K30)</f>
        <v>3.7321469692247531</v>
      </c>
    </row>
    <row r="34" spans="2:11" x14ac:dyDescent="0.25">
      <c r="B34" s="4"/>
      <c r="C34" s="4" t="s">
        <v>42</v>
      </c>
      <c r="D34" s="4" t="s">
        <v>43</v>
      </c>
      <c r="E34" s="4" t="s">
        <v>44</v>
      </c>
      <c r="F34" s="4" t="s">
        <v>45</v>
      </c>
      <c r="G34" s="4" t="s">
        <v>46</v>
      </c>
    </row>
    <row r="35" spans="2:11" x14ac:dyDescent="0.25">
      <c r="B35" t="s">
        <v>38</v>
      </c>
      <c r="C35">
        <v>1</v>
      </c>
      <c r="D35">
        <v>8.0308012224492159E-3</v>
      </c>
      <c r="E35">
        <v>8.0308012224492159E-3</v>
      </c>
      <c r="F35">
        <v>1.0887195089456116</v>
      </c>
      <c r="G35">
        <v>0.3239705001013341</v>
      </c>
    </row>
    <row r="36" spans="2:11" x14ac:dyDescent="0.25">
      <c r="B36" t="s">
        <v>39</v>
      </c>
      <c r="C36">
        <v>9</v>
      </c>
      <c r="D36">
        <v>6.6387357265271202E-2</v>
      </c>
      <c r="E36">
        <v>7.3763730294745776E-3</v>
      </c>
    </row>
    <row r="37" spans="2:11" ht="15.75" thickBot="1" x14ac:dyDescent="0.3">
      <c r="B37" s="3" t="s">
        <v>40</v>
      </c>
      <c r="C37" s="3">
        <v>10</v>
      </c>
      <c r="D37" s="3">
        <v>7.4418158487720418E-2</v>
      </c>
      <c r="E37" s="3"/>
      <c r="F37" s="3"/>
      <c r="G37" s="3"/>
    </row>
    <row r="38" spans="2:11" ht="15.75" thickBot="1" x14ac:dyDescent="0.3"/>
    <row r="39" spans="2:11" x14ac:dyDescent="0.25">
      <c r="B39" s="4"/>
      <c r="C39" s="4" t="s">
        <v>47</v>
      </c>
      <c r="D39" s="4" t="s">
        <v>35</v>
      </c>
      <c r="E39" s="4" t="s">
        <v>48</v>
      </c>
      <c r="F39" s="4" t="s">
        <v>49</v>
      </c>
      <c r="G39" s="4" t="s">
        <v>50</v>
      </c>
      <c r="H39" s="4" t="s">
        <v>51</v>
      </c>
      <c r="I39" s="4" t="s">
        <v>52</v>
      </c>
      <c r="J39" s="4" t="s">
        <v>53</v>
      </c>
    </row>
    <row r="40" spans="2:11" x14ac:dyDescent="0.25">
      <c r="B40" t="s">
        <v>41</v>
      </c>
      <c r="C40">
        <v>-2.7044580269199817E-2</v>
      </c>
      <c r="D40">
        <v>2.603887949759166E-2</v>
      </c>
      <c r="E40">
        <v>-1.0386230433495103</v>
      </c>
      <c r="F40">
        <v>0.32607778657618253</v>
      </c>
      <c r="G40">
        <v>-8.5948618035916122E-2</v>
      </c>
      <c r="H40">
        <v>3.1859457497516494E-2</v>
      </c>
      <c r="I40">
        <v>-8.5948618035916122E-2</v>
      </c>
      <c r="J40">
        <v>3.1859457497516494E-2</v>
      </c>
    </row>
    <row r="41" spans="2:11" ht="15.75" thickBot="1" x14ac:dyDescent="0.3">
      <c r="B41" s="3" t="s">
        <v>54</v>
      </c>
      <c r="C41" s="3">
        <v>0.4621852805372248</v>
      </c>
      <c r="D41" s="3">
        <v>0.44295346934712299</v>
      </c>
      <c r="E41" s="3">
        <v>1.0434172266862429</v>
      </c>
      <c r="F41" s="3">
        <v>0.32397050010133438</v>
      </c>
      <c r="G41" s="3">
        <v>-0.53984508293268463</v>
      </c>
      <c r="H41" s="3">
        <v>1.4642156440071343</v>
      </c>
      <c r="I41" s="3">
        <v>-0.53984508293268463</v>
      </c>
      <c r="J41" s="3">
        <v>1.4642156440071343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35BCA-BEFF-4EB3-9032-0122F97FFFD7}">
  <dimension ref="A1:I36"/>
  <sheetViews>
    <sheetView tabSelected="1" topLeftCell="A19" workbookViewId="0">
      <selection activeCell="F36" sqref="F36"/>
    </sheetView>
  </sheetViews>
  <sheetFormatPr defaultRowHeight="15" x14ac:dyDescent="0.25"/>
  <cols>
    <col min="5" max="5" width="46.140625" customWidth="1"/>
    <col min="6" max="6" width="12" bestFit="1" customWidth="1"/>
    <col min="7" max="8" width="10.85546875" bestFit="1" customWidth="1"/>
  </cols>
  <sheetData>
    <row r="1" spans="1:9" x14ac:dyDescent="0.25">
      <c r="A1" t="s">
        <v>68</v>
      </c>
      <c r="B1" t="s">
        <v>69</v>
      </c>
    </row>
    <row r="2" spans="1:9" x14ac:dyDescent="0.25">
      <c r="A2">
        <v>2022</v>
      </c>
      <c r="B2">
        <v>28</v>
      </c>
      <c r="F2">
        <v>2025</v>
      </c>
      <c r="G2">
        <v>2024</v>
      </c>
      <c r="H2">
        <v>2023</v>
      </c>
    </row>
    <row r="3" spans="1:9" x14ac:dyDescent="0.25">
      <c r="A3">
        <v>2023</v>
      </c>
      <c r="B3">
        <v>28</v>
      </c>
      <c r="E3" t="s">
        <v>70</v>
      </c>
      <c r="F3">
        <v>850</v>
      </c>
      <c r="G3" s="1">
        <v>4500</v>
      </c>
      <c r="H3">
        <v>0</v>
      </c>
    </row>
    <row r="4" spans="1:9" x14ac:dyDescent="0.25">
      <c r="A4">
        <v>2024</v>
      </c>
      <c r="B4">
        <v>27</v>
      </c>
      <c r="E4" t="s">
        <v>71</v>
      </c>
      <c r="F4">
        <v>300</v>
      </c>
      <c r="G4" s="1">
        <v>5179</v>
      </c>
      <c r="H4" s="1">
        <v>2800</v>
      </c>
    </row>
    <row r="5" spans="1:9" x14ac:dyDescent="0.25">
      <c r="A5">
        <v>2025</v>
      </c>
      <c r="B5">
        <v>27</v>
      </c>
      <c r="E5" t="s">
        <v>72</v>
      </c>
      <c r="F5">
        <v>0</v>
      </c>
      <c r="G5">
        <v>1766</v>
      </c>
      <c r="H5" s="8">
        <v>2869.4</v>
      </c>
    </row>
    <row r="6" spans="1:9" x14ac:dyDescent="0.25">
      <c r="A6">
        <v>2026</v>
      </c>
      <c r="B6">
        <v>27</v>
      </c>
      <c r="E6" s="7" t="s">
        <v>73</v>
      </c>
      <c r="F6" s="7">
        <f t="shared" ref="F6:H6" si="0">SUM(F3:F5)</f>
        <v>1150</v>
      </c>
      <c r="G6" s="7">
        <f t="shared" si="0"/>
        <v>11445</v>
      </c>
      <c r="H6" s="7">
        <f t="shared" si="0"/>
        <v>5669.4</v>
      </c>
    </row>
    <row r="7" spans="1:9" x14ac:dyDescent="0.25">
      <c r="E7" t="s">
        <v>74</v>
      </c>
      <c r="F7" s="1">
        <v>16379</v>
      </c>
      <c r="G7" s="1">
        <v>16868</v>
      </c>
      <c r="H7" s="8">
        <v>15133.2</v>
      </c>
      <c r="I7" s="1"/>
    </row>
    <row r="8" spans="1:9" x14ac:dyDescent="0.25">
      <c r="E8" t="s">
        <v>75</v>
      </c>
      <c r="F8" s="1">
        <v>2741</v>
      </c>
      <c r="G8" s="1">
        <v>2838</v>
      </c>
      <c r="H8" s="8">
        <v>2470.8000000000002</v>
      </c>
    </row>
    <row r="9" spans="1:9" x14ac:dyDescent="0.25">
      <c r="E9" s="7" t="s">
        <v>76</v>
      </c>
      <c r="F9" s="9">
        <f t="shared" ref="F9:H9" si="1">SUM(F7:F8)</f>
        <v>19120</v>
      </c>
      <c r="G9" s="9">
        <f t="shared" si="1"/>
        <v>19706</v>
      </c>
      <c r="H9" s="9">
        <f t="shared" si="1"/>
        <v>17604</v>
      </c>
    </row>
    <row r="10" spans="1:9" x14ac:dyDescent="0.25">
      <c r="E10" t="s">
        <v>77</v>
      </c>
      <c r="F10" s="1">
        <f t="shared" ref="F10:H10" si="2">F6+F9</f>
        <v>20270</v>
      </c>
      <c r="G10" s="1">
        <f t="shared" si="2"/>
        <v>31151</v>
      </c>
      <c r="H10" s="1">
        <f t="shared" si="2"/>
        <v>23273.4</v>
      </c>
    </row>
    <row r="11" spans="1:9" x14ac:dyDescent="0.25">
      <c r="F11">
        <v>2025</v>
      </c>
      <c r="G11">
        <v>2024</v>
      </c>
      <c r="H11">
        <v>2023</v>
      </c>
    </row>
    <row r="12" spans="1:9" x14ac:dyDescent="0.25">
      <c r="E12" t="s">
        <v>78</v>
      </c>
    </row>
    <row r="13" spans="1:9" x14ac:dyDescent="0.25">
      <c r="E13" t="s">
        <v>79</v>
      </c>
      <c r="F13">
        <v>792</v>
      </c>
      <c r="G13">
        <v>836</v>
      </c>
      <c r="H13">
        <v>431.4</v>
      </c>
    </row>
    <row r="14" spans="1:9" x14ac:dyDescent="0.25">
      <c r="E14" t="s">
        <v>80</v>
      </c>
      <c r="F14" s="1">
        <v>1769</v>
      </c>
      <c r="G14" s="1">
        <v>1631</v>
      </c>
      <c r="H14" s="8">
        <v>1342.5</v>
      </c>
    </row>
    <row r="15" spans="1:9" x14ac:dyDescent="0.25">
      <c r="E15" s="7" t="s">
        <v>81</v>
      </c>
      <c r="F15" s="7">
        <f t="shared" ref="F15:H15" si="3">SUM(F13:F14)</f>
        <v>2561</v>
      </c>
      <c r="G15" s="7">
        <f t="shared" si="3"/>
        <v>2467</v>
      </c>
      <c r="H15" s="7">
        <f t="shared" si="3"/>
        <v>1773.9</v>
      </c>
    </row>
    <row r="17" spans="5:8" x14ac:dyDescent="0.25">
      <c r="E17" t="s">
        <v>82</v>
      </c>
      <c r="F17">
        <v>2025</v>
      </c>
      <c r="G17">
        <v>2024</v>
      </c>
      <c r="H17">
        <v>2023</v>
      </c>
    </row>
    <row r="18" spans="5:8" x14ac:dyDescent="0.25">
      <c r="E18" t="s">
        <v>83</v>
      </c>
      <c r="F18">
        <f>(F6+G6)/2</f>
        <v>6297.5</v>
      </c>
      <c r="G18">
        <f>(G6+H6)/2</f>
        <v>8557.2000000000007</v>
      </c>
      <c r="H18" t="e">
        <f>(H6+#REF!)/2</f>
        <v>#REF!</v>
      </c>
    </row>
    <row r="19" spans="5:8" x14ac:dyDescent="0.25">
      <c r="E19" t="s">
        <v>86</v>
      </c>
      <c r="F19">
        <f>F13/F18</f>
        <v>0.125764192139738</v>
      </c>
      <c r="G19">
        <f>G13/G18</f>
        <v>9.7695507876408169E-2</v>
      </c>
      <c r="H19" t="e">
        <f>H13/H18</f>
        <v>#REF!</v>
      </c>
    </row>
    <row r="20" spans="5:8" x14ac:dyDescent="0.25">
      <c r="E20" t="s">
        <v>84</v>
      </c>
      <c r="F20">
        <f>(F9+G9)/2</f>
        <v>19413</v>
      </c>
      <c r="G20">
        <f>(G9+H9)/2</f>
        <v>18655</v>
      </c>
      <c r="H20" t="e">
        <f>(H9+#REF!)/2</f>
        <v>#REF!</v>
      </c>
    </row>
    <row r="21" spans="5:8" x14ac:dyDescent="0.25">
      <c r="E21" t="s">
        <v>87</v>
      </c>
      <c r="F21">
        <f>F14/F20</f>
        <v>9.1124504198217687E-2</v>
      </c>
      <c r="G21">
        <f>G14/G20</f>
        <v>8.7429643527204504E-2</v>
      </c>
      <c r="H21" t="e">
        <f>H14/H20</f>
        <v>#REF!</v>
      </c>
    </row>
    <row r="22" spans="5:8" x14ac:dyDescent="0.25">
      <c r="E22" t="s">
        <v>85</v>
      </c>
      <c r="F22">
        <f>(F10+G10)/2</f>
        <v>25710.5</v>
      </c>
      <c r="G22">
        <f>(G10+H10)/2</f>
        <v>27212.2</v>
      </c>
      <c r="H22" t="e">
        <f>(H10+#REF!)/2</f>
        <v>#REF!</v>
      </c>
    </row>
    <row r="23" spans="5:8" x14ac:dyDescent="0.25">
      <c r="E23" s="7" t="s">
        <v>88</v>
      </c>
      <c r="F23" s="7">
        <f>F18/F22</f>
        <v>0.24493883821784873</v>
      </c>
      <c r="G23" s="7">
        <f>G18/G22</f>
        <v>0.31446189576733968</v>
      </c>
      <c r="H23" s="7" t="e">
        <f>H18/H22</f>
        <v>#REF!</v>
      </c>
    </row>
    <row r="24" spans="5:8" x14ac:dyDescent="0.25">
      <c r="E24" s="7" t="s">
        <v>89</v>
      </c>
      <c r="F24" s="7">
        <f>F20/F22</f>
        <v>0.75506116178215121</v>
      </c>
      <c r="G24" s="7">
        <f>G20/G22</f>
        <v>0.68553810423266037</v>
      </c>
      <c r="H24" s="7" t="e">
        <f>H20/H22</f>
        <v>#REF!</v>
      </c>
    </row>
    <row r="26" spans="5:8" x14ac:dyDescent="0.25">
      <c r="E26" s="7" t="s">
        <v>90</v>
      </c>
      <c r="F26" s="7">
        <f>F23*F19+F24*F21</f>
        <v>9.9609109118842493E-2</v>
      </c>
      <c r="G26" s="7">
        <f>G23*G19+G24*G21</f>
        <v>9.0657866692145442E-2</v>
      </c>
      <c r="H26" s="7" t="e">
        <f>H23*H19+H24*H21</f>
        <v>#REF!</v>
      </c>
    </row>
    <row r="27" spans="5:8" x14ac:dyDescent="0.25">
      <c r="E27" t="s">
        <v>91</v>
      </c>
      <c r="F27">
        <v>5.1382379999999998E-2</v>
      </c>
      <c r="G27">
        <v>-1.8901500000000002E-2</v>
      </c>
      <c r="H27">
        <v>3.7321470000000002E-2</v>
      </c>
    </row>
    <row r="28" spans="5:8" x14ac:dyDescent="0.25">
      <c r="E28" t="s">
        <v>92</v>
      </c>
      <c r="F28" s="1">
        <f>F10</f>
        <v>20270</v>
      </c>
      <c r="G28" s="1">
        <f>G10</f>
        <v>31151</v>
      </c>
      <c r="H28" s="1">
        <f>H10</f>
        <v>23273.4</v>
      </c>
    </row>
    <row r="29" spans="5:8" x14ac:dyDescent="0.25">
      <c r="E29" t="s">
        <v>93</v>
      </c>
      <c r="F29">
        <v>0.27</v>
      </c>
      <c r="G29">
        <v>0.27</v>
      </c>
      <c r="H29">
        <v>0.28000000000000003</v>
      </c>
    </row>
    <row r="30" spans="5:8" x14ac:dyDescent="0.25">
      <c r="E30" t="s">
        <v>94</v>
      </c>
      <c r="F30">
        <v>735712000</v>
      </c>
      <c r="G30">
        <v>482654000</v>
      </c>
      <c r="H30">
        <v>481070200</v>
      </c>
    </row>
    <row r="31" spans="5:8" x14ac:dyDescent="0.25">
      <c r="E31" t="s">
        <v>95</v>
      </c>
      <c r="F31">
        <v>9945000</v>
      </c>
      <c r="G31">
        <v>10796000</v>
      </c>
      <c r="H31">
        <v>12380100</v>
      </c>
    </row>
    <row r="32" spans="5:8" x14ac:dyDescent="0.25">
      <c r="E32" s="7" t="s">
        <v>111</v>
      </c>
      <c r="F32" s="9">
        <f>F30-F31</f>
        <v>725767000</v>
      </c>
      <c r="G32" s="9">
        <f t="shared" ref="G32:H32" si="4">G30-G31</f>
        <v>471858000</v>
      </c>
      <c r="H32" s="9">
        <f t="shared" si="4"/>
        <v>468690100</v>
      </c>
    </row>
    <row r="33" spans="5:8" x14ac:dyDescent="0.25">
      <c r="E33" t="s">
        <v>96</v>
      </c>
      <c r="F33">
        <f>2815/100</f>
        <v>28.15</v>
      </c>
      <c r="G33">
        <v>18.68</v>
      </c>
      <c r="H33">
        <v>42.27</v>
      </c>
    </row>
    <row r="34" spans="5:8" x14ac:dyDescent="0.25">
      <c r="E34" t="s">
        <v>97</v>
      </c>
      <c r="F34">
        <f>F32*F33</f>
        <v>20430341050</v>
      </c>
      <c r="G34">
        <f>G32*G33</f>
        <v>8814307440</v>
      </c>
      <c r="H34">
        <f>H32*H33</f>
        <v>19811530527</v>
      </c>
    </row>
    <row r="36" spans="5:8" x14ac:dyDescent="0.25">
      <c r="E36" t="s">
        <v>98</v>
      </c>
      <c r="F36">
        <f>(F34/(F34+F28))*F27+(F28/(F28+F34))*F26*(1-F29)</f>
        <v>5.1382401164829103E-2</v>
      </c>
      <c r="G36">
        <f>(G34/(G34+G28))*G27+(G28/(G28+G34))*G26*(1-G29)</f>
        <v>-1.8901199310238766E-2</v>
      </c>
      <c r="H36" t="e">
        <f>(H34/(H34+H28))*H27+(H28/(H28+H34))*H26*(1-H29)</f>
        <v>#REF!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A67A-A515-4084-824E-41A71A693C44}">
  <dimension ref="A1:K33"/>
  <sheetViews>
    <sheetView topLeftCell="A17" workbookViewId="0">
      <selection activeCell="K27" sqref="K27"/>
    </sheetView>
  </sheetViews>
  <sheetFormatPr defaultRowHeight="15" x14ac:dyDescent="0.25"/>
  <cols>
    <col min="1" max="1" width="12.140625" customWidth="1"/>
    <col min="11" max="11" width="12" bestFit="1" customWidth="1"/>
  </cols>
  <sheetData>
    <row r="1" spans="1:8" x14ac:dyDescent="0.25">
      <c r="A1" t="s">
        <v>2</v>
      </c>
      <c r="B1" t="s">
        <v>0</v>
      </c>
      <c r="C1" t="s">
        <v>3</v>
      </c>
      <c r="D1" t="s">
        <v>28</v>
      </c>
      <c r="E1" t="s">
        <v>63</v>
      </c>
      <c r="H1" t="s">
        <v>66</v>
      </c>
    </row>
    <row r="2" spans="1:8" x14ac:dyDescent="0.25">
      <c r="A2" s="2">
        <v>45717</v>
      </c>
      <c r="B2">
        <v>27271</v>
      </c>
      <c r="C2">
        <f>B2/B3-1</f>
        <v>-8.3633322424638834E-3</v>
      </c>
      <c r="D2">
        <v>76100.17</v>
      </c>
      <c r="E2">
        <f>D2/D3-1</f>
        <v>-2.101657874488938E-2</v>
      </c>
      <c r="H2">
        <v>7.5750000000000002</v>
      </c>
    </row>
    <row r="3" spans="1:8" x14ac:dyDescent="0.25">
      <c r="A3" s="2">
        <v>45689</v>
      </c>
      <c r="B3">
        <v>27501</v>
      </c>
      <c r="C3">
        <f>B3/B4-1</f>
        <v>-3.7921987056148354E-2</v>
      </c>
      <c r="D3">
        <v>77733.87</v>
      </c>
      <c r="E3">
        <f t="shared" ref="E3:E12" si="0">D3/D4-1</f>
        <v>-2.1927586232929119E-2</v>
      </c>
      <c r="H3">
        <v>7.5750000000000002</v>
      </c>
    </row>
    <row r="4" spans="1:8" x14ac:dyDescent="0.25">
      <c r="A4" s="2">
        <v>45658</v>
      </c>
      <c r="B4">
        <v>28585</v>
      </c>
      <c r="C4">
        <f>(B4/B5)-1</f>
        <v>-2.9371816638370074E-2</v>
      </c>
      <c r="D4">
        <v>79476.600000000006</v>
      </c>
      <c r="E4">
        <f t="shared" si="0"/>
        <v>8.7996657566328684E-2</v>
      </c>
      <c r="H4">
        <v>7.55</v>
      </c>
    </row>
    <row r="5" spans="1:8" x14ac:dyDescent="0.25">
      <c r="A5" s="2">
        <v>45627</v>
      </c>
      <c r="B5">
        <v>29450</v>
      </c>
      <c r="C5">
        <f t="shared" ref="C5:C12" si="1">B5/B6-1</f>
        <v>-4.3612022042665011E-3</v>
      </c>
      <c r="D5">
        <v>73048.570000000007</v>
      </c>
      <c r="E5">
        <f t="shared" si="0"/>
        <v>-2.378026941786493E-2</v>
      </c>
      <c r="H5">
        <v>7.4</v>
      </c>
    </row>
    <row r="6" spans="1:8" x14ac:dyDescent="0.25">
      <c r="A6" s="2">
        <v>45597</v>
      </c>
      <c r="B6">
        <v>29579</v>
      </c>
      <c r="C6">
        <f t="shared" si="1"/>
        <v>-2.4246222867322031E-2</v>
      </c>
      <c r="D6">
        <v>74828</v>
      </c>
      <c r="E6">
        <f t="shared" si="0"/>
        <v>0.12233610537612316</v>
      </c>
      <c r="H6">
        <v>7.2750000000000004</v>
      </c>
    </row>
    <row r="7" spans="1:8" x14ac:dyDescent="0.25">
      <c r="A7" s="2">
        <v>45566</v>
      </c>
      <c r="B7">
        <v>30314</v>
      </c>
      <c r="C7">
        <f t="shared" si="1"/>
        <v>2.488335925349916E-2</v>
      </c>
      <c r="D7">
        <v>66671.649999999994</v>
      </c>
      <c r="E7">
        <f t="shared" si="0"/>
        <v>4.6217601912677431E-2</v>
      </c>
      <c r="H7">
        <v>7.2</v>
      </c>
    </row>
    <row r="8" spans="1:8" x14ac:dyDescent="0.25">
      <c r="A8" s="2">
        <v>45536</v>
      </c>
      <c r="B8">
        <v>29578</v>
      </c>
      <c r="C8">
        <f t="shared" si="1"/>
        <v>-4.6117131062951455E-2</v>
      </c>
      <c r="D8">
        <v>63726.37</v>
      </c>
      <c r="E8">
        <f t="shared" si="0"/>
        <v>-5.2496582518971158E-2</v>
      </c>
      <c r="H8">
        <v>7.22</v>
      </c>
    </row>
    <row r="9" spans="1:8" x14ac:dyDescent="0.25">
      <c r="A9" s="2">
        <v>45505</v>
      </c>
      <c r="B9">
        <v>31008</v>
      </c>
      <c r="C9">
        <f t="shared" si="1"/>
        <v>1.8224805437887959E-2</v>
      </c>
      <c r="D9">
        <v>67257.14</v>
      </c>
      <c r="E9">
        <f t="shared" si="0"/>
        <v>-2.4325728330616414E-2</v>
      </c>
      <c r="H9">
        <v>6.88</v>
      </c>
    </row>
    <row r="10" spans="1:8" x14ac:dyDescent="0.25">
      <c r="A10" s="2">
        <v>45474</v>
      </c>
      <c r="B10">
        <v>30453</v>
      </c>
      <c r="C10">
        <f t="shared" si="1"/>
        <v>7.2175474421716013E-2</v>
      </c>
      <c r="D10">
        <v>68934.009999999995</v>
      </c>
      <c r="E10">
        <f t="shared" si="0"/>
        <v>4.0932716893794518E-2</v>
      </c>
      <c r="H10">
        <v>6.84</v>
      </c>
    </row>
    <row r="11" spans="1:8" x14ac:dyDescent="0.25">
      <c r="A11" s="2">
        <v>45444</v>
      </c>
      <c r="B11">
        <v>28403</v>
      </c>
      <c r="C11">
        <f t="shared" si="1"/>
        <v>0.13753053786695513</v>
      </c>
      <c r="D11">
        <v>66223.31</v>
      </c>
      <c r="E11">
        <f t="shared" si="0"/>
        <v>-8.1442133122647919E-2</v>
      </c>
      <c r="H11">
        <v>5.9</v>
      </c>
    </row>
    <row r="12" spans="1:8" x14ac:dyDescent="0.25">
      <c r="A12" s="2">
        <v>45413</v>
      </c>
      <c r="B12">
        <v>24969</v>
      </c>
      <c r="C12">
        <f t="shared" si="1"/>
        <v>-8.1827209533267276E-3</v>
      </c>
      <c r="D12">
        <v>72094.87</v>
      </c>
      <c r="E12">
        <f t="shared" si="0"/>
        <v>-4.7403133013291798E-3</v>
      </c>
      <c r="H12">
        <v>5.57</v>
      </c>
    </row>
    <row r="13" spans="1:8" x14ac:dyDescent="0.25">
      <c r="A13" s="2">
        <v>45383</v>
      </c>
      <c r="B13">
        <v>25175</v>
      </c>
      <c r="D13">
        <v>72438.25</v>
      </c>
      <c r="H13">
        <v>5.5</v>
      </c>
    </row>
    <row r="16" spans="1:8" x14ac:dyDescent="0.25">
      <c r="A16" t="s">
        <v>30</v>
      </c>
    </row>
    <row r="17" spans="1:11" ht="15.75" thickBot="1" x14ac:dyDescent="0.3"/>
    <row r="18" spans="1:11" x14ac:dyDescent="0.25">
      <c r="A18" s="5" t="s">
        <v>31</v>
      </c>
      <c r="B18" s="5"/>
    </row>
    <row r="19" spans="1:11" x14ac:dyDescent="0.25">
      <c r="A19" t="s">
        <v>32</v>
      </c>
      <c r="B19">
        <v>0.30360375103290238</v>
      </c>
    </row>
    <row r="20" spans="1:11" x14ac:dyDescent="0.25">
      <c r="A20" t="s">
        <v>33</v>
      </c>
      <c r="B20">
        <v>9.2175237641248589E-2</v>
      </c>
    </row>
    <row r="21" spans="1:11" x14ac:dyDescent="0.25">
      <c r="A21" t="s">
        <v>34</v>
      </c>
      <c r="B21">
        <v>-8.6941803986126821E-3</v>
      </c>
    </row>
    <row r="22" spans="1:11" x14ac:dyDescent="0.25">
      <c r="A22" t="s">
        <v>35</v>
      </c>
      <c r="B22">
        <v>5.4493161903216354E-2</v>
      </c>
    </row>
    <row r="23" spans="1:11" ht="15.75" thickBot="1" x14ac:dyDescent="0.3">
      <c r="A23" s="3" t="s">
        <v>36</v>
      </c>
      <c r="B23" s="3">
        <v>11</v>
      </c>
    </row>
    <row r="24" spans="1:11" x14ac:dyDescent="0.25">
      <c r="J24" s="6" t="s">
        <v>64</v>
      </c>
      <c r="K24" s="6">
        <f>AVERAGE(H2:H13)</f>
        <v>6.8737500000000011</v>
      </c>
    </row>
    <row r="25" spans="1:11" ht="15.75" thickBot="1" x14ac:dyDescent="0.3">
      <c r="A25" t="s">
        <v>37</v>
      </c>
      <c r="J25" s="6" t="s">
        <v>58</v>
      </c>
      <c r="K25" s="6">
        <f>B33</f>
        <v>-0.26866188366810001</v>
      </c>
    </row>
    <row r="26" spans="1:11" x14ac:dyDescent="0.25">
      <c r="A26" s="4"/>
      <c r="B26" s="4" t="s">
        <v>42</v>
      </c>
      <c r="C26" s="4" t="s">
        <v>43</v>
      </c>
      <c r="D26" s="4" t="s">
        <v>44</v>
      </c>
      <c r="E26" s="4" t="s">
        <v>45</v>
      </c>
      <c r="F26" s="4" t="s">
        <v>46</v>
      </c>
      <c r="J26" s="6" t="s">
        <v>57</v>
      </c>
      <c r="K26" s="6">
        <f>(1+AVERAGE(E2:E12))^(12)-1</f>
        <v>7.646942212530039E-2</v>
      </c>
    </row>
    <row r="27" spans="1:11" x14ac:dyDescent="0.25">
      <c r="A27" t="s">
        <v>38</v>
      </c>
      <c r="B27">
        <v>1</v>
      </c>
      <c r="C27">
        <v>2.7135558644490049E-3</v>
      </c>
      <c r="D27">
        <v>2.7135558644490049E-3</v>
      </c>
      <c r="E27">
        <v>0.91380756856179202</v>
      </c>
      <c r="F27">
        <v>0.36407680288636746</v>
      </c>
      <c r="J27" s="6" t="s">
        <v>67</v>
      </c>
      <c r="K27" s="6">
        <f>K24+K25*(K26-K24)</f>
        <v>8.6999202038724093</v>
      </c>
    </row>
    <row r="28" spans="1:11" x14ac:dyDescent="0.25">
      <c r="A28" t="s">
        <v>39</v>
      </c>
      <c r="B28">
        <v>9</v>
      </c>
      <c r="C28">
        <v>2.6725542247891348E-2</v>
      </c>
      <c r="D28">
        <v>2.9695046942101498E-3</v>
      </c>
    </row>
    <row r="29" spans="1:11" ht="15.75" thickBot="1" x14ac:dyDescent="0.3">
      <c r="A29" s="3" t="s">
        <v>40</v>
      </c>
      <c r="B29" s="3">
        <v>10</v>
      </c>
      <c r="C29" s="3">
        <v>2.9439098112340353E-2</v>
      </c>
      <c r="D29" s="3"/>
      <c r="E29" s="3"/>
      <c r="F29" s="3"/>
    </row>
    <row r="30" spans="1:11" ht="15.75" thickBot="1" x14ac:dyDescent="0.3"/>
    <row r="31" spans="1:11" x14ac:dyDescent="0.25">
      <c r="A31" s="4"/>
      <c r="B31" s="4" t="s">
        <v>47</v>
      </c>
      <c r="C31" s="4" t="s">
        <v>35</v>
      </c>
      <c r="D31" s="4" t="s">
        <v>48</v>
      </c>
      <c r="E31" s="4" t="s">
        <v>49</v>
      </c>
      <c r="F31" s="4" t="s">
        <v>50</v>
      </c>
      <c r="G31" s="4" t="s">
        <v>51</v>
      </c>
      <c r="H31" s="4" t="s">
        <v>52</v>
      </c>
      <c r="I31" s="4" t="s">
        <v>53</v>
      </c>
    </row>
    <row r="32" spans="1:11" x14ac:dyDescent="0.25">
      <c r="A32" t="s">
        <v>41</v>
      </c>
      <c r="B32">
        <v>1.0222968335441481E-2</v>
      </c>
      <c r="C32">
        <v>1.6521248525077869E-2</v>
      </c>
      <c r="D32">
        <v>0.61877698407138371</v>
      </c>
      <c r="E32">
        <v>0.55140122505251188</v>
      </c>
      <c r="F32">
        <v>-2.7150692353932707E-2</v>
      </c>
      <c r="G32">
        <v>4.7596629024815665E-2</v>
      </c>
      <c r="H32">
        <v>-2.7150692353932707E-2</v>
      </c>
      <c r="I32">
        <v>4.7596629024815665E-2</v>
      </c>
    </row>
    <row r="33" spans="1:9" ht="15.75" thickBot="1" x14ac:dyDescent="0.3">
      <c r="A33" s="3" t="s">
        <v>54</v>
      </c>
      <c r="B33" s="3">
        <v>-0.26866188366810001</v>
      </c>
      <c r="C33" s="3">
        <v>0.28104682280226911</v>
      </c>
      <c r="D33" s="3">
        <v>-0.95593282638572097</v>
      </c>
      <c r="E33" s="3">
        <v>0.36407680288636735</v>
      </c>
      <c r="F33" s="3">
        <v>-0.90443396695193101</v>
      </c>
      <c r="G33" s="3">
        <v>0.36711019961573105</v>
      </c>
      <c r="H33" s="3">
        <v>-0.90443396695193101</v>
      </c>
      <c r="I33" s="3">
        <v>0.36711019961573105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2AED-9833-4401-8DC3-008F8C9AE2A2}">
  <dimension ref="A1:K32"/>
  <sheetViews>
    <sheetView topLeftCell="A16" workbookViewId="0">
      <selection activeCell="J24" sqref="J24:K27"/>
    </sheetView>
  </sheetViews>
  <sheetFormatPr defaultRowHeight="15" x14ac:dyDescent="0.25"/>
  <cols>
    <col min="1" max="1" width="11.42578125" customWidth="1"/>
  </cols>
  <sheetData>
    <row r="1" spans="1:8" x14ac:dyDescent="0.25">
      <c r="A1" t="s">
        <v>2</v>
      </c>
      <c r="B1" t="s">
        <v>0</v>
      </c>
      <c r="C1" t="s">
        <v>3</v>
      </c>
      <c r="D1" t="s">
        <v>28</v>
      </c>
      <c r="E1" t="s">
        <v>63</v>
      </c>
      <c r="H1" t="s">
        <v>66</v>
      </c>
    </row>
    <row r="2" spans="1:8" x14ac:dyDescent="0.25">
      <c r="A2" s="2">
        <v>45352</v>
      </c>
      <c r="B2">
        <v>24744</v>
      </c>
      <c r="C2">
        <f>B2/B3-1</f>
        <v>-4.1747347223297981E-2</v>
      </c>
      <c r="D2">
        <v>76100.17</v>
      </c>
      <c r="E2">
        <f>D2/D3-1</f>
        <v>-2.101657874488938E-2</v>
      </c>
      <c r="H2">
        <v>7.5750000000000002</v>
      </c>
    </row>
    <row r="3" spans="1:8" x14ac:dyDescent="0.25">
      <c r="A3" s="2">
        <v>45323</v>
      </c>
      <c r="B3">
        <v>25822</v>
      </c>
      <c r="C3">
        <f>B3/B4-1</f>
        <v>-4.8878411727872106E-2</v>
      </c>
      <c r="D3">
        <v>77733.87</v>
      </c>
      <c r="E3">
        <f t="shared" ref="E3:E12" si="0">D3/D4-1</f>
        <v>-2.1927586232929119E-2</v>
      </c>
      <c r="H3">
        <v>7.5750000000000002</v>
      </c>
    </row>
    <row r="4" spans="1:8" x14ac:dyDescent="0.25">
      <c r="A4" s="2">
        <v>45292</v>
      </c>
      <c r="B4">
        <v>27149</v>
      </c>
      <c r="C4">
        <f>(B4/B5)-1</f>
        <v>-1.2943101254317413E-2</v>
      </c>
      <c r="D4">
        <v>79476.600000000006</v>
      </c>
      <c r="E4">
        <f t="shared" si="0"/>
        <v>8.7996657566328684E-2</v>
      </c>
      <c r="H4">
        <v>7.55</v>
      </c>
    </row>
    <row r="5" spans="1:8" x14ac:dyDescent="0.25">
      <c r="A5" s="2">
        <v>45261</v>
      </c>
      <c r="B5">
        <v>27505</v>
      </c>
      <c r="C5">
        <f t="shared" ref="C5:C12" si="1">B5/B6-1</f>
        <v>6.9609177522846677E-2</v>
      </c>
      <c r="D5">
        <v>73048.570000000007</v>
      </c>
      <c r="E5">
        <f t="shared" si="0"/>
        <v>-2.378026941786493E-2</v>
      </c>
      <c r="H5">
        <v>7.4</v>
      </c>
    </row>
    <row r="6" spans="1:8" x14ac:dyDescent="0.25">
      <c r="A6" s="2">
        <v>45231</v>
      </c>
      <c r="B6">
        <v>25715</v>
      </c>
      <c r="C6">
        <f t="shared" si="1"/>
        <v>7.670728132981619E-2</v>
      </c>
      <c r="D6">
        <v>74828</v>
      </c>
      <c r="E6">
        <f t="shared" si="0"/>
        <v>0.12233610537612316</v>
      </c>
      <c r="H6">
        <v>7.2750000000000004</v>
      </c>
    </row>
    <row r="7" spans="1:8" x14ac:dyDescent="0.25">
      <c r="A7" s="2">
        <v>45200</v>
      </c>
      <c r="B7">
        <v>23883</v>
      </c>
      <c r="C7">
        <f t="shared" si="1"/>
        <v>-4.2111407605069928E-3</v>
      </c>
      <c r="D7">
        <v>66671.649999999994</v>
      </c>
      <c r="E7">
        <f t="shared" si="0"/>
        <v>4.6217601912677431E-2</v>
      </c>
      <c r="H7">
        <v>7.2</v>
      </c>
    </row>
    <row r="8" spans="1:8" x14ac:dyDescent="0.25">
      <c r="A8" s="2">
        <v>45170</v>
      </c>
      <c r="B8">
        <v>23984</v>
      </c>
      <c r="C8">
        <f t="shared" si="1"/>
        <v>-9.0929765379221483E-2</v>
      </c>
      <c r="D8">
        <v>63726.37</v>
      </c>
      <c r="E8">
        <f t="shared" si="0"/>
        <v>-5.2496582518971158E-2</v>
      </c>
      <c r="H8">
        <v>7.22</v>
      </c>
    </row>
    <row r="9" spans="1:8" x14ac:dyDescent="0.25">
      <c r="A9" s="2">
        <v>45139</v>
      </c>
      <c r="B9">
        <v>26383</v>
      </c>
      <c r="C9">
        <f t="shared" si="1"/>
        <v>2.1013931888544946E-2</v>
      </c>
      <c r="D9">
        <v>67257.14</v>
      </c>
      <c r="E9">
        <f t="shared" si="0"/>
        <v>-2.4325728330616414E-2</v>
      </c>
      <c r="H9">
        <v>6.88</v>
      </c>
    </row>
    <row r="10" spans="1:8" x14ac:dyDescent="0.25">
      <c r="A10" s="2">
        <v>45108</v>
      </c>
      <c r="B10">
        <v>25840</v>
      </c>
      <c r="C10">
        <f t="shared" si="1"/>
        <v>0.14539007092198575</v>
      </c>
      <c r="D10">
        <v>68934.009999999995</v>
      </c>
      <c r="E10">
        <f t="shared" si="0"/>
        <v>4.0932716893794518E-2</v>
      </c>
      <c r="H10">
        <v>6.84</v>
      </c>
    </row>
    <row r="11" spans="1:8" x14ac:dyDescent="0.25">
      <c r="A11" s="2">
        <v>45078</v>
      </c>
      <c r="B11">
        <v>22560</v>
      </c>
      <c r="C11">
        <f t="shared" si="1"/>
        <v>0.15573770491803285</v>
      </c>
      <c r="D11">
        <v>66223.31</v>
      </c>
      <c r="E11">
        <f t="shared" si="0"/>
        <v>-8.1442133122647919E-2</v>
      </c>
      <c r="H11">
        <v>5.9</v>
      </c>
    </row>
    <row r="12" spans="1:8" x14ac:dyDescent="0.25">
      <c r="A12" s="2">
        <v>45047</v>
      </c>
      <c r="B12">
        <v>19520</v>
      </c>
      <c r="C12">
        <f t="shared" si="1"/>
        <v>-0.12446736936532854</v>
      </c>
      <c r="D12">
        <v>72094.87</v>
      </c>
      <c r="E12">
        <f t="shared" si="0"/>
        <v>-4.7403133013291798E-3</v>
      </c>
      <c r="H12">
        <v>5.57</v>
      </c>
    </row>
    <row r="13" spans="1:8" x14ac:dyDescent="0.25">
      <c r="A13" s="2">
        <v>45017</v>
      </c>
      <c r="B13">
        <v>22295</v>
      </c>
      <c r="D13">
        <v>72438.25</v>
      </c>
      <c r="H13">
        <v>5.5</v>
      </c>
    </row>
    <row r="15" spans="1:8" x14ac:dyDescent="0.25">
      <c r="A15" t="s">
        <v>30</v>
      </c>
    </row>
    <row r="16" spans="1:8" ht="15.75" thickBot="1" x14ac:dyDescent="0.3"/>
    <row r="17" spans="1:11" x14ac:dyDescent="0.25">
      <c r="A17" s="5" t="s">
        <v>31</v>
      </c>
      <c r="B17" s="5"/>
    </row>
    <row r="18" spans="1:11" x14ac:dyDescent="0.25">
      <c r="A18" t="s">
        <v>32</v>
      </c>
      <c r="B18">
        <v>9.9870153994667962E-2</v>
      </c>
    </row>
    <row r="19" spans="1:11" x14ac:dyDescent="0.25">
      <c r="A19" t="s">
        <v>33</v>
      </c>
      <c r="B19">
        <v>9.9740476589186937E-3</v>
      </c>
    </row>
    <row r="20" spans="1:11" x14ac:dyDescent="0.25">
      <c r="A20" t="s">
        <v>34</v>
      </c>
      <c r="B20">
        <v>-0.10002883593453478</v>
      </c>
    </row>
    <row r="21" spans="1:11" x14ac:dyDescent="0.25">
      <c r="A21" t="s">
        <v>35</v>
      </c>
      <c r="B21">
        <v>9.5392304244694207E-2</v>
      </c>
    </row>
    <row r="22" spans="1:11" ht="15.75" thickBot="1" x14ac:dyDescent="0.3">
      <c r="A22" s="3" t="s">
        <v>36</v>
      </c>
      <c r="B22" s="3">
        <v>11</v>
      </c>
    </row>
    <row r="24" spans="1:11" ht="15.75" thickBot="1" x14ac:dyDescent="0.3">
      <c r="A24" t="s">
        <v>37</v>
      </c>
      <c r="J24" s="6" t="s">
        <v>64</v>
      </c>
      <c r="K24" s="6">
        <f>AVERAGE(H2:H13)</f>
        <v>6.8737500000000011</v>
      </c>
    </row>
    <row r="25" spans="1:11" x14ac:dyDescent="0.25">
      <c r="A25" s="4"/>
      <c r="B25" s="4" t="s">
        <v>42</v>
      </c>
      <c r="C25" s="4" t="s">
        <v>43</v>
      </c>
      <c r="D25" s="4" t="s">
        <v>44</v>
      </c>
      <c r="E25" s="4" t="s">
        <v>45</v>
      </c>
      <c r="F25" s="4" t="s">
        <v>46</v>
      </c>
      <c r="J25" s="6" t="s">
        <v>58</v>
      </c>
      <c r="K25" s="6">
        <f>B32</f>
        <v>0.1481438735528447</v>
      </c>
    </row>
    <row r="26" spans="1:11" x14ac:dyDescent="0.25">
      <c r="A26" t="s">
        <v>38</v>
      </c>
      <c r="B26">
        <v>1</v>
      </c>
      <c r="C26">
        <v>8.2507617821715729E-4</v>
      </c>
      <c r="D26">
        <v>8.2507617821715729E-4</v>
      </c>
      <c r="E26">
        <v>9.067078364764132E-2</v>
      </c>
      <c r="F26">
        <v>0.77016687277674767</v>
      </c>
      <c r="J26" s="6" t="s">
        <v>57</v>
      </c>
      <c r="K26" s="6">
        <f>(1+AVERAGE(E2:E12))^(12)-1</f>
        <v>7.646942212530039E-2</v>
      </c>
    </row>
    <row r="27" spans="1:11" x14ac:dyDescent="0.25">
      <c r="A27" t="s">
        <v>39</v>
      </c>
      <c r="B27">
        <v>9</v>
      </c>
      <c r="C27">
        <v>8.1897225382010747E-2</v>
      </c>
      <c r="D27">
        <v>9.0996917091123054E-3</v>
      </c>
      <c r="J27" s="6" t="s">
        <v>67</v>
      </c>
      <c r="K27" s="6">
        <f>K24+K25*(K26-K24)</f>
        <v>5.8667745255681245</v>
      </c>
    </row>
    <row r="28" spans="1:11" ht="15.75" thickBot="1" x14ac:dyDescent="0.3">
      <c r="A28" s="3" t="s">
        <v>40</v>
      </c>
      <c r="B28" s="3">
        <v>10</v>
      </c>
      <c r="C28" s="3">
        <v>8.2722301560227904E-2</v>
      </c>
      <c r="D28" s="3"/>
      <c r="E28" s="3"/>
      <c r="F28" s="3"/>
    </row>
    <row r="29" spans="1:11" ht="15.75" thickBot="1" x14ac:dyDescent="0.3"/>
    <row r="30" spans="1:11" x14ac:dyDescent="0.25">
      <c r="A30" s="4"/>
      <c r="B30" s="4" t="s">
        <v>47</v>
      </c>
      <c r="C30" s="4" t="s">
        <v>35</v>
      </c>
      <c r="D30" s="4" t="s">
        <v>48</v>
      </c>
      <c r="E30" s="4" t="s">
        <v>49</v>
      </c>
      <c r="F30" s="4" t="s">
        <v>50</v>
      </c>
      <c r="G30" s="4" t="s">
        <v>51</v>
      </c>
      <c r="H30" s="4" t="s">
        <v>52</v>
      </c>
      <c r="I30" s="4" t="s">
        <v>53</v>
      </c>
    </row>
    <row r="31" spans="1:11" x14ac:dyDescent="0.25">
      <c r="A31" t="s">
        <v>41</v>
      </c>
      <c r="B31">
        <v>1.2294882467818643E-2</v>
      </c>
      <c r="C31">
        <v>2.8921059280896919E-2</v>
      </c>
      <c r="D31">
        <v>0.42511867730722158</v>
      </c>
      <c r="E31">
        <v>0.68073381369425556</v>
      </c>
      <c r="F31">
        <v>-5.3129098940173834E-2</v>
      </c>
      <c r="G31">
        <v>7.7718863875811117E-2</v>
      </c>
      <c r="H31">
        <v>-5.3129098940173834E-2</v>
      </c>
      <c r="I31">
        <v>7.7718863875811117E-2</v>
      </c>
    </row>
    <row r="32" spans="1:11" ht="15.75" thickBot="1" x14ac:dyDescent="0.3">
      <c r="A32" s="3" t="s">
        <v>54</v>
      </c>
      <c r="B32" s="3">
        <v>0.1481438735528447</v>
      </c>
      <c r="C32" s="3">
        <v>0.49198290375175174</v>
      </c>
      <c r="D32" s="3">
        <v>0.30111589736784061</v>
      </c>
      <c r="E32" s="3">
        <v>0.77016687277674944</v>
      </c>
      <c r="F32" s="3">
        <v>-0.96479877614344067</v>
      </c>
      <c r="G32" s="3">
        <v>1.26108652324913</v>
      </c>
      <c r="H32" s="3">
        <v>-0.96479877614344067</v>
      </c>
      <c r="I32" s="3">
        <v>1.26108652324913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B28F-6BD6-47FF-842A-580AAA94B600}">
  <dimension ref="A1:K32"/>
  <sheetViews>
    <sheetView topLeftCell="A16" workbookViewId="0">
      <selection activeCell="K27" sqref="K27"/>
    </sheetView>
  </sheetViews>
  <sheetFormatPr defaultRowHeight="15" x14ac:dyDescent="0.25"/>
  <cols>
    <col min="1" max="1" width="13" customWidth="1"/>
  </cols>
  <sheetData>
    <row r="1" spans="1:8" x14ac:dyDescent="0.25">
      <c r="A1" t="s">
        <v>2</v>
      </c>
      <c r="B1" t="s">
        <v>0</v>
      </c>
      <c r="C1" t="s">
        <v>3</v>
      </c>
      <c r="D1" t="s">
        <v>28</v>
      </c>
      <c r="E1" t="s">
        <v>63</v>
      </c>
      <c r="H1" t="s">
        <v>66</v>
      </c>
    </row>
    <row r="2" spans="1:8" x14ac:dyDescent="0.25">
      <c r="A2" s="2">
        <v>44986</v>
      </c>
      <c r="B2">
        <v>22226</v>
      </c>
      <c r="C2">
        <f>B2/B3-1</f>
        <v>-1.2582007728947353E-3</v>
      </c>
      <c r="D2">
        <v>76100.17</v>
      </c>
      <c r="E2">
        <f>D2/D3-1</f>
        <v>-2.101657874488938E-2</v>
      </c>
      <c r="H2">
        <v>7.5750000000000002</v>
      </c>
    </row>
    <row r="3" spans="1:8" x14ac:dyDescent="0.25">
      <c r="A3" s="2">
        <v>44958</v>
      </c>
      <c r="B3">
        <v>22254</v>
      </c>
      <c r="C3">
        <f>B3/B4-1</f>
        <v>-7.3290580494711377E-2</v>
      </c>
      <c r="D3">
        <v>77733.87</v>
      </c>
      <c r="E3">
        <f t="shared" ref="E3:E12" si="0">D3/D4-1</f>
        <v>-2.1927586232929119E-2</v>
      </c>
      <c r="H3">
        <v>7.5750000000000002</v>
      </c>
    </row>
    <row r="4" spans="1:8" x14ac:dyDescent="0.25">
      <c r="A4" s="2">
        <v>44927</v>
      </c>
      <c r="B4">
        <v>24014</v>
      </c>
      <c r="C4">
        <f>(B4/B5)-1</f>
        <v>6.2566371681415989E-2</v>
      </c>
      <c r="D4">
        <v>79476.600000000006</v>
      </c>
      <c r="E4">
        <f t="shared" si="0"/>
        <v>8.7996657566328684E-2</v>
      </c>
      <c r="H4">
        <v>7.55</v>
      </c>
    </row>
    <row r="5" spans="1:8" x14ac:dyDescent="0.25">
      <c r="A5" s="2">
        <v>44896</v>
      </c>
      <c r="B5">
        <v>22600</v>
      </c>
      <c r="C5">
        <f t="shared" ref="C5:C12" si="1">B5/B6-1</f>
        <v>-0.10360145962240208</v>
      </c>
      <c r="D5">
        <v>73048.570000000007</v>
      </c>
      <c r="E5">
        <f t="shared" si="0"/>
        <v>-2.378026941786493E-2</v>
      </c>
      <c r="H5">
        <v>7.4</v>
      </c>
    </row>
    <row r="6" spans="1:8" x14ac:dyDescent="0.25">
      <c r="A6" s="2">
        <v>44866</v>
      </c>
      <c r="B6">
        <v>25212</v>
      </c>
      <c r="C6">
        <f t="shared" si="1"/>
        <v>7.7896536981616027E-2</v>
      </c>
      <c r="D6">
        <v>74828</v>
      </c>
      <c r="E6">
        <f t="shared" si="0"/>
        <v>0.12233610537612316</v>
      </c>
      <c r="H6">
        <v>7.2750000000000004</v>
      </c>
    </row>
    <row r="7" spans="1:8" x14ac:dyDescent="0.25">
      <c r="A7" s="2">
        <v>44835</v>
      </c>
      <c r="B7">
        <v>23390</v>
      </c>
      <c r="C7">
        <f t="shared" si="1"/>
        <v>7.7929858518825723E-2</v>
      </c>
      <c r="D7">
        <v>66671.649999999994</v>
      </c>
      <c r="E7">
        <f t="shared" si="0"/>
        <v>4.6217601912677431E-2</v>
      </c>
      <c r="H7">
        <v>7.2</v>
      </c>
    </row>
    <row r="8" spans="1:8" x14ac:dyDescent="0.25">
      <c r="A8" s="2">
        <v>44805</v>
      </c>
      <c r="B8">
        <v>21699</v>
      </c>
      <c r="C8">
        <f t="shared" si="1"/>
        <v>-6.7591955998624997E-2</v>
      </c>
      <c r="D8">
        <v>63726.37</v>
      </c>
      <c r="E8">
        <f t="shared" si="0"/>
        <v>-5.2496582518971158E-2</v>
      </c>
      <c r="H8">
        <v>7.22</v>
      </c>
    </row>
    <row r="9" spans="1:8" x14ac:dyDescent="0.25">
      <c r="A9" s="2">
        <v>44774</v>
      </c>
      <c r="B9">
        <v>23272</v>
      </c>
      <c r="C9">
        <f t="shared" si="1"/>
        <v>3.7816625044595042E-2</v>
      </c>
      <c r="D9">
        <v>67257.14</v>
      </c>
      <c r="E9">
        <f t="shared" si="0"/>
        <v>-2.4325728330616414E-2</v>
      </c>
      <c r="H9">
        <v>6.88</v>
      </c>
    </row>
    <row r="10" spans="1:8" x14ac:dyDescent="0.25">
      <c r="A10" s="2">
        <v>44743</v>
      </c>
      <c r="B10">
        <v>22424</v>
      </c>
      <c r="C10">
        <f t="shared" si="1"/>
        <v>0.13321204770568018</v>
      </c>
      <c r="D10">
        <v>68934.009999999995</v>
      </c>
      <c r="E10">
        <f t="shared" si="0"/>
        <v>4.0932716893794518E-2</v>
      </c>
      <c r="H10">
        <v>6.84</v>
      </c>
    </row>
    <row r="11" spans="1:8" x14ac:dyDescent="0.25">
      <c r="A11" s="2">
        <v>44713</v>
      </c>
      <c r="B11">
        <v>19788</v>
      </c>
      <c r="C11">
        <f t="shared" si="1"/>
        <v>-8.2359488035614881E-2</v>
      </c>
      <c r="D11">
        <v>66223.31</v>
      </c>
      <c r="E11">
        <f t="shared" si="0"/>
        <v>-8.1442133122647919E-2</v>
      </c>
      <c r="H11">
        <v>5.9</v>
      </c>
    </row>
    <row r="12" spans="1:8" x14ac:dyDescent="0.25">
      <c r="A12" s="2">
        <v>44682</v>
      </c>
      <c r="B12">
        <v>21564</v>
      </c>
      <c r="C12">
        <f t="shared" si="1"/>
        <v>-5.8422845166360982E-2</v>
      </c>
      <c r="D12">
        <v>72094.87</v>
      </c>
      <c r="E12">
        <f t="shared" si="0"/>
        <v>-4.7403133013291798E-3</v>
      </c>
      <c r="H12">
        <v>5.57</v>
      </c>
    </row>
    <row r="13" spans="1:8" x14ac:dyDescent="0.25">
      <c r="A13" s="2">
        <v>44652</v>
      </c>
      <c r="B13">
        <v>22902</v>
      </c>
      <c r="D13">
        <v>72438.25</v>
      </c>
      <c r="H13">
        <v>5.5</v>
      </c>
    </row>
    <row r="15" spans="1:8" x14ac:dyDescent="0.25">
      <c r="A15" t="s">
        <v>30</v>
      </c>
    </row>
    <row r="16" spans="1:8" ht="15.75" thickBot="1" x14ac:dyDescent="0.3"/>
    <row r="17" spans="1:11" x14ac:dyDescent="0.25">
      <c r="A17" s="5" t="s">
        <v>31</v>
      </c>
      <c r="B17" s="5"/>
    </row>
    <row r="18" spans="1:11" x14ac:dyDescent="0.25">
      <c r="A18" t="s">
        <v>32</v>
      </c>
      <c r="B18">
        <v>0.75790470458689685</v>
      </c>
    </row>
    <row r="19" spans="1:11" x14ac:dyDescent="0.25">
      <c r="A19" t="s">
        <v>33</v>
      </c>
      <c r="B19">
        <v>0.57441954123495131</v>
      </c>
    </row>
    <row r="20" spans="1:11" x14ac:dyDescent="0.25">
      <c r="A20" t="s">
        <v>34</v>
      </c>
      <c r="B20">
        <v>0.5271328235943904</v>
      </c>
    </row>
    <row r="21" spans="1:11" x14ac:dyDescent="0.25">
      <c r="A21" t="s">
        <v>35</v>
      </c>
      <c r="B21">
        <v>5.5908211721854444E-2</v>
      </c>
    </row>
    <row r="22" spans="1:11" ht="15.75" thickBot="1" x14ac:dyDescent="0.3">
      <c r="A22" s="3" t="s">
        <v>36</v>
      </c>
      <c r="B22" s="3">
        <v>11</v>
      </c>
    </row>
    <row r="24" spans="1:11" ht="15.75" thickBot="1" x14ac:dyDescent="0.3">
      <c r="A24" t="s">
        <v>37</v>
      </c>
      <c r="J24" s="6" t="s">
        <v>64</v>
      </c>
      <c r="K24" s="6">
        <f>AVERAGE(H2:H13)</f>
        <v>6.8737500000000011</v>
      </c>
    </row>
    <row r="25" spans="1:11" x14ac:dyDescent="0.25">
      <c r="A25" s="4"/>
      <c r="B25" s="4" t="s">
        <v>42</v>
      </c>
      <c r="C25" s="4" t="s">
        <v>43</v>
      </c>
      <c r="D25" s="4" t="s">
        <v>44</v>
      </c>
      <c r="E25" s="4" t="s">
        <v>45</v>
      </c>
      <c r="F25" s="4" t="s">
        <v>46</v>
      </c>
      <c r="J25" s="6" t="s">
        <v>58</v>
      </c>
      <c r="K25" s="6">
        <f>B32</f>
        <v>1.0049797050006017</v>
      </c>
    </row>
    <row r="26" spans="1:11" x14ac:dyDescent="0.25">
      <c r="A26" t="s">
        <v>38</v>
      </c>
      <c r="B26">
        <v>1</v>
      </c>
      <c r="C26">
        <v>3.7970056130055906E-2</v>
      </c>
      <c r="D26">
        <v>3.7970056130055906E-2</v>
      </c>
      <c r="E26">
        <v>12.147587523440903</v>
      </c>
      <c r="F26">
        <v>6.880457811443353E-3</v>
      </c>
      <c r="J26" s="6" t="s">
        <v>57</v>
      </c>
      <c r="K26" s="6">
        <f>(1+AVERAGE(E2:E12))^(12)-1</f>
        <v>7.646942212530039E-2</v>
      </c>
    </row>
    <row r="27" spans="1:11" x14ac:dyDescent="0.25">
      <c r="A27" t="s">
        <v>39</v>
      </c>
      <c r="B27">
        <v>9</v>
      </c>
      <c r="C27">
        <v>2.8131553241421324E-2</v>
      </c>
      <c r="D27">
        <v>3.1257281379357027E-3</v>
      </c>
      <c r="J27" s="6" t="s">
        <v>67</v>
      </c>
      <c r="K27" s="6">
        <f>K24+K25*(K26-K24)</f>
        <v>4.2620970041165052E-2</v>
      </c>
    </row>
    <row r="28" spans="1:11" ht="15.75" thickBot="1" x14ac:dyDescent="0.3">
      <c r="A28" s="3" t="s">
        <v>40</v>
      </c>
      <c r="B28" s="3">
        <v>10</v>
      </c>
      <c r="C28" s="3">
        <v>6.610160937147723E-2</v>
      </c>
      <c r="D28" s="3"/>
      <c r="E28" s="3"/>
      <c r="F28" s="3"/>
    </row>
    <row r="29" spans="1:11" ht="15.75" thickBot="1" x14ac:dyDescent="0.3"/>
    <row r="30" spans="1:11" x14ac:dyDescent="0.25">
      <c r="A30" s="4"/>
      <c r="B30" s="4" t="s">
        <v>47</v>
      </c>
      <c r="C30" s="4" t="s">
        <v>35</v>
      </c>
      <c r="D30" s="4" t="s">
        <v>48</v>
      </c>
      <c r="E30" s="4" t="s">
        <v>49</v>
      </c>
      <c r="F30" s="4" t="s">
        <v>50</v>
      </c>
      <c r="G30" s="4" t="s">
        <v>51</v>
      </c>
      <c r="H30" s="4" t="s">
        <v>52</v>
      </c>
      <c r="I30" s="4" t="s">
        <v>53</v>
      </c>
    </row>
    <row r="31" spans="1:11" x14ac:dyDescent="0.25">
      <c r="A31" t="s">
        <v>41</v>
      </c>
      <c r="B31">
        <v>-5.9267613293992509E-3</v>
      </c>
      <c r="C31">
        <v>1.6950263632892825E-2</v>
      </c>
      <c r="D31">
        <v>-0.34965599696621102</v>
      </c>
      <c r="E31">
        <v>0.73463933965201544</v>
      </c>
      <c r="F31">
        <v>-4.4270921617865687E-2</v>
      </c>
      <c r="G31">
        <v>3.241739895906718E-2</v>
      </c>
      <c r="H31">
        <v>-4.4270921617865687E-2</v>
      </c>
      <c r="I31">
        <v>3.241739895906718E-2</v>
      </c>
    </row>
    <row r="32" spans="1:11" ht="15.75" thickBot="1" x14ac:dyDescent="0.3">
      <c r="A32" s="3" t="s">
        <v>54</v>
      </c>
      <c r="B32" s="3">
        <v>1.0049797050006017</v>
      </c>
      <c r="C32" s="3">
        <v>0.28834489914332445</v>
      </c>
      <c r="D32" s="3">
        <v>3.4853389395352803</v>
      </c>
      <c r="E32" s="3">
        <v>6.8804578114433331E-3</v>
      </c>
      <c r="F32" s="3">
        <v>0.35269822604720424</v>
      </c>
      <c r="G32" s="3">
        <v>1.6572611839539992</v>
      </c>
      <c r="H32" s="3">
        <v>0.35269822604720424</v>
      </c>
      <c r="I32" s="3">
        <v>1.6572611839539992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6768A-01BE-49C6-A8C1-9D04C367811C}">
  <dimension ref="D1:G37"/>
  <sheetViews>
    <sheetView topLeftCell="A20" workbookViewId="0">
      <selection activeCell="H33" sqref="H33"/>
    </sheetView>
  </sheetViews>
  <sheetFormatPr defaultRowHeight="15" x14ac:dyDescent="0.25"/>
  <cols>
    <col min="5" max="6" width="12" customWidth="1"/>
    <col min="7" max="7" width="13.85546875" customWidth="1"/>
  </cols>
  <sheetData>
    <row r="1" spans="4:7" x14ac:dyDescent="0.25">
      <c r="E1" t="s">
        <v>99</v>
      </c>
    </row>
    <row r="2" spans="4:7" x14ac:dyDescent="0.25">
      <c r="E2">
        <v>2025</v>
      </c>
      <c r="F2">
        <v>2024</v>
      </c>
      <c r="G2">
        <v>2023</v>
      </c>
    </row>
    <row r="3" spans="4:7" x14ac:dyDescent="0.25">
      <c r="D3" t="s">
        <v>70</v>
      </c>
      <c r="E3">
        <v>6504</v>
      </c>
      <c r="F3" s="1">
        <v>5788</v>
      </c>
      <c r="G3">
        <v>5770</v>
      </c>
    </row>
    <row r="4" spans="4:7" x14ac:dyDescent="0.25">
      <c r="D4" t="s">
        <v>71</v>
      </c>
      <c r="E4">
        <v>1863</v>
      </c>
      <c r="F4" s="1">
        <v>2895</v>
      </c>
      <c r="G4" s="1">
        <v>6604</v>
      </c>
    </row>
    <row r="5" spans="4:7" x14ac:dyDescent="0.25">
      <c r="D5" t="s">
        <v>72</v>
      </c>
      <c r="E5">
        <v>489</v>
      </c>
      <c r="F5">
        <v>205</v>
      </c>
      <c r="G5" s="8">
        <v>598</v>
      </c>
    </row>
    <row r="6" spans="4:7" x14ac:dyDescent="0.25">
      <c r="D6" s="7" t="s">
        <v>73</v>
      </c>
      <c r="E6" s="7">
        <f t="shared" ref="E6:G6" si="0">SUM(E3:E5)</f>
        <v>8856</v>
      </c>
      <c r="F6" s="7">
        <f t="shared" si="0"/>
        <v>8888</v>
      </c>
      <c r="G6" s="7">
        <f t="shared" si="0"/>
        <v>12972</v>
      </c>
    </row>
    <row r="7" spans="4:7" x14ac:dyDescent="0.25">
      <c r="D7" t="s">
        <v>74</v>
      </c>
      <c r="E7" s="1">
        <v>43116</v>
      </c>
      <c r="F7" s="1">
        <v>36702</v>
      </c>
      <c r="G7" s="8">
        <v>36482</v>
      </c>
    </row>
    <row r="8" spans="4:7" x14ac:dyDescent="0.25">
      <c r="D8" t="s">
        <v>75</v>
      </c>
      <c r="E8" s="1">
        <v>3904</v>
      </c>
      <c r="F8" s="1">
        <v>3775</v>
      </c>
      <c r="G8" s="8">
        <v>3100</v>
      </c>
    </row>
    <row r="9" spans="4:7" x14ac:dyDescent="0.25">
      <c r="D9" s="7" t="s">
        <v>76</v>
      </c>
      <c r="E9" s="9">
        <f t="shared" ref="E9:G9" si="1">SUM(E7:E8)</f>
        <v>47020</v>
      </c>
      <c r="F9" s="9">
        <f t="shared" si="1"/>
        <v>40477</v>
      </c>
      <c r="G9" s="9">
        <f t="shared" si="1"/>
        <v>39582</v>
      </c>
    </row>
    <row r="10" spans="4:7" x14ac:dyDescent="0.25">
      <c r="D10" t="s">
        <v>77</v>
      </c>
      <c r="E10" s="1">
        <f t="shared" ref="E10:G10" si="2">E6+E9</f>
        <v>55876</v>
      </c>
      <c r="F10" s="1">
        <f t="shared" si="2"/>
        <v>49365</v>
      </c>
      <c r="G10" s="1">
        <f t="shared" si="2"/>
        <v>52554</v>
      </c>
    </row>
    <row r="11" spans="4:7" x14ac:dyDescent="0.25">
      <c r="E11">
        <v>2025</v>
      </c>
      <c r="F11">
        <v>2024</v>
      </c>
      <c r="G11">
        <v>2023</v>
      </c>
    </row>
    <row r="12" spans="4:7" x14ac:dyDescent="0.25">
      <c r="D12" t="s">
        <v>78</v>
      </c>
    </row>
    <row r="13" spans="4:7" x14ac:dyDescent="0.25">
      <c r="D13" t="s">
        <v>79</v>
      </c>
      <c r="E13">
        <v>792</v>
      </c>
      <c r="F13">
        <v>836</v>
      </c>
      <c r="G13">
        <v>431.4</v>
      </c>
    </row>
    <row r="14" spans="4:7" x14ac:dyDescent="0.25">
      <c r="D14" t="s">
        <v>80</v>
      </c>
      <c r="E14" s="1">
        <v>1769</v>
      </c>
      <c r="F14" s="1">
        <v>1631</v>
      </c>
      <c r="G14" s="8">
        <v>1342.5</v>
      </c>
    </row>
    <row r="15" spans="4:7" x14ac:dyDescent="0.25">
      <c r="D15" t="s">
        <v>104</v>
      </c>
      <c r="E15" s="1">
        <v>62</v>
      </c>
      <c r="F15" s="1">
        <v>141</v>
      </c>
      <c r="G15" s="8">
        <v>52</v>
      </c>
    </row>
    <row r="16" spans="4:7" x14ac:dyDescent="0.25">
      <c r="D16" s="7" t="s">
        <v>81</v>
      </c>
      <c r="E16" s="9">
        <f>SUM(E13:E14)-E15</f>
        <v>2499</v>
      </c>
      <c r="F16" s="9">
        <f t="shared" ref="F16:G16" si="3">SUM(F13:F14)-F15</f>
        <v>2326</v>
      </c>
      <c r="G16" s="9">
        <f t="shared" si="3"/>
        <v>1721.9</v>
      </c>
    </row>
    <row r="18" spans="4:7" x14ac:dyDescent="0.25">
      <c r="D18" t="s">
        <v>82</v>
      </c>
      <c r="E18">
        <v>2025</v>
      </c>
      <c r="F18">
        <v>2024</v>
      </c>
      <c r="G18">
        <v>2023</v>
      </c>
    </row>
    <row r="19" spans="4:7" x14ac:dyDescent="0.25">
      <c r="D19" t="s">
        <v>83</v>
      </c>
      <c r="E19">
        <f>(E6+F6)/2</f>
        <v>8872</v>
      </c>
      <c r="F19">
        <f>(F6+G6)/2</f>
        <v>10930</v>
      </c>
      <c r="G19" t="e">
        <f>(G6+#REF!)/2</f>
        <v>#REF!</v>
      </c>
    </row>
    <row r="20" spans="4:7" x14ac:dyDescent="0.25">
      <c r="D20" t="s">
        <v>86</v>
      </c>
      <c r="E20">
        <f>E13/E19</f>
        <v>8.9269612263300269E-2</v>
      </c>
      <c r="F20">
        <f>F13/F19</f>
        <v>7.6486733760292774E-2</v>
      </c>
      <c r="G20" t="e">
        <f>G13/G19</f>
        <v>#REF!</v>
      </c>
    </row>
    <row r="21" spans="4:7" x14ac:dyDescent="0.25">
      <c r="D21" t="s">
        <v>84</v>
      </c>
      <c r="E21">
        <f>(E9+F9)/2</f>
        <v>43748.5</v>
      </c>
      <c r="F21">
        <f>(F9+G9)/2</f>
        <v>40029.5</v>
      </c>
      <c r="G21" t="e">
        <f>(G9+#REF!)/2</f>
        <v>#REF!</v>
      </c>
    </row>
    <row r="22" spans="4:7" x14ac:dyDescent="0.25">
      <c r="D22" t="s">
        <v>87</v>
      </c>
      <c r="E22">
        <f>E14/E21</f>
        <v>4.0435672080185607E-2</v>
      </c>
      <c r="F22">
        <f>F14/F21</f>
        <v>4.0744950598933287E-2</v>
      </c>
      <c r="G22" t="e">
        <f>G14/G21</f>
        <v>#REF!</v>
      </c>
    </row>
    <row r="23" spans="4:7" x14ac:dyDescent="0.25">
      <c r="D23" t="s">
        <v>85</v>
      </c>
      <c r="E23">
        <f>(E10+F10)/2</f>
        <v>52620.5</v>
      </c>
      <c r="F23">
        <f>(F10+G10)/2</f>
        <v>50959.5</v>
      </c>
      <c r="G23" t="e">
        <f>(G10+#REF!)/2</f>
        <v>#REF!</v>
      </c>
    </row>
    <row r="24" spans="4:7" x14ac:dyDescent="0.25">
      <c r="D24" s="7" t="s">
        <v>88</v>
      </c>
      <c r="E24" s="7">
        <f>E19/E23</f>
        <v>0.16860349103486283</v>
      </c>
      <c r="F24" s="7">
        <f>F19/F23</f>
        <v>0.21448405106015561</v>
      </c>
      <c r="G24" s="7" t="e">
        <f>G19/G23</f>
        <v>#REF!</v>
      </c>
    </row>
    <row r="25" spans="4:7" x14ac:dyDescent="0.25">
      <c r="D25" s="7" t="s">
        <v>89</v>
      </c>
      <c r="E25" s="7">
        <f>E21/E23</f>
        <v>0.83139650896513717</v>
      </c>
      <c r="F25" s="7">
        <f>F21/F23</f>
        <v>0.78551594893984433</v>
      </c>
      <c r="G25" s="7" t="e">
        <f>G21/G23</f>
        <v>#REF!</v>
      </c>
    </row>
    <row r="27" spans="4:7" x14ac:dyDescent="0.25">
      <c r="D27" s="7" t="s">
        <v>90</v>
      </c>
      <c r="E27" s="7">
        <f>E24*E20+E25*E22</f>
        <v>4.8669244876046402E-2</v>
      </c>
      <c r="F27" s="7">
        <f>F24*F20+F25*F22</f>
        <v>4.8410993043495318E-2</v>
      </c>
      <c r="G27" s="7" t="e">
        <f>G24*G20+G25*G22</f>
        <v>#REF!</v>
      </c>
    </row>
    <row r="28" spans="4:7" x14ac:dyDescent="0.25">
      <c r="D28" t="s">
        <v>91</v>
      </c>
      <c r="E28">
        <v>8.6999202040000001E-2</v>
      </c>
      <c r="F28">
        <v>5.8667749999999998E-2</v>
      </c>
      <c r="G28">
        <v>4.2621E-4</v>
      </c>
    </row>
    <row r="29" spans="4:7" x14ac:dyDescent="0.25">
      <c r="D29" t="s">
        <v>92</v>
      </c>
      <c r="E29" s="1">
        <f>E10</f>
        <v>55876</v>
      </c>
      <c r="F29" s="1">
        <f>F10</f>
        <v>49365</v>
      </c>
      <c r="G29" s="1">
        <f>G10</f>
        <v>52554</v>
      </c>
    </row>
    <row r="30" spans="4:7" x14ac:dyDescent="0.25">
      <c r="D30" t="s">
        <v>93</v>
      </c>
      <c r="E30">
        <v>0.27</v>
      </c>
      <c r="F30">
        <v>0.27</v>
      </c>
      <c r="G30">
        <v>0.28000000000000003</v>
      </c>
    </row>
    <row r="31" spans="4:7" x14ac:dyDescent="0.25">
      <c r="D31" t="s">
        <v>94</v>
      </c>
      <c r="E31">
        <v>591338502</v>
      </c>
      <c r="F31">
        <v>591338502</v>
      </c>
      <c r="G31">
        <v>591338502</v>
      </c>
    </row>
    <row r="32" spans="4:7" x14ac:dyDescent="0.25">
      <c r="D32" t="s">
        <v>95</v>
      </c>
      <c r="E32">
        <v>50815151</v>
      </c>
      <c r="F32">
        <v>47489379</v>
      </c>
      <c r="G32">
        <v>48275448</v>
      </c>
    </row>
    <row r="33" spans="4:7" x14ac:dyDescent="0.25">
      <c r="D33" s="7" t="s">
        <v>111</v>
      </c>
      <c r="E33" s="9">
        <f>E31-E32</f>
        <v>540523351</v>
      </c>
      <c r="F33" s="9">
        <f t="shared" ref="F33:G33" si="4">F31-F32</f>
        <v>543849123</v>
      </c>
      <c r="G33" s="9">
        <f t="shared" si="4"/>
        <v>543063054</v>
      </c>
    </row>
    <row r="34" spans="4:7" x14ac:dyDescent="0.25">
      <c r="D34" t="s">
        <v>96</v>
      </c>
      <c r="E34">
        <v>272.70999999999998</v>
      </c>
      <c r="F34">
        <v>247.44</v>
      </c>
      <c r="G34">
        <v>222.26</v>
      </c>
    </row>
    <row r="35" spans="4:7" x14ac:dyDescent="0.25">
      <c r="D35" t="s">
        <v>97</v>
      </c>
      <c r="E35">
        <f>E33*E34</f>
        <v>147406123051.20999</v>
      </c>
      <c r="F35">
        <f>F33*F34</f>
        <v>134570026995.12</v>
      </c>
      <c r="G35">
        <f>G33*G34</f>
        <v>120701194382.03999</v>
      </c>
    </row>
    <row r="37" spans="4:7" x14ac:dyDescent="0.25">
      <c r="D37" t="s">
        <v>98</v>
      </c>
      <c r="E37">
        <f>(E35/(E35+E29))*E28+(E29/(E29+E35))*E27*(1-E30)</f>
        <v>8.6999182529459498E-2</v>
      </c>
      <c r="F37">
        <f>(F35/(F35+F29))*F28+(F29/(F29+F35))*F27*(1-F30)</f>
        <v>5.8667741442576388E-2</v>
      </c>
      <c r="G37" t="e">
        <f>(G35/(G35+G29))*G28+(G29/(G29+G35))*G27*(1-G30)</f>
        <v>#REF!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19D4-D657-4D25-8EE3-F1525D891906}">
  <dimension ref="A1:K32"/>
  <sheetViews>
    <sheetView topLeftCell="A16" workbookViewId="0">
      <selection activeCell="J24" sqref="J24:K27"/>
    </sheetView>
  </sheetViews>
  <sheetFormatPr defaultRowHeight="15" x14ac:dyDescent="0.25"/>
  <cols>
    <col min="1" max="1" width="11" customWidth="1"/>
  </cols>
  <sheetData>
    <row r="1" spans="1:8" x14ac:dyDescent="0.25">
      <c r="A1" t="s">
        <v>2</v>
      </c>
      <c r="B1" t="s">
        <v>0</v>
      </c>
      <c r="C1" t="s">
        <v>3</v>
      </c>
      <c r="D1" t="s">
        <v>28</v>
      </c>
      <c r="E1" t="s">
        <v>63</v>
      </c>
      <c r="H1" t="s">
        <v>66</v>
      </c>
    </row>
    <row r="2" spans="1:8" x14ac:dyDescent="0.25">
      <c r="A2" s="2">
        <v>45717</v>
      </c>
      <c r="B2">
        <v>11823</v>
      </c>
      <c r="C2">
        <f>B2/B3-1</f>
        <v>-0.11165376812683148</v>
      </c>
      <c r="D2">
        <v>76100.17</v>
      </c>
      <c r="E2">
        <f>D2/D3-1</f>
        <v>-2.101657874488938E-2</v>
      </c>
      <c r="H2">
        <v>7.5750000000000002</v>
      </c>
    </row>
    <row r="3" spans="1:8" x14ac:dyDescent="0.25">
      <c r="A3" s="2">
        <v>45689</v>
      </c>
      <c r="B3">
        <v>13309</v>
      </c>
      <c r="C3">
        <f>B3/B4-1</f>
        <v>-5.084866638140062E-2</v>
      </c>
      <c r="D3">
        <v>77733.87</v>
      </c>
      <c r="E3">
        <f t="shared" ref="E3:E12" si="0">D3/D4-1</f>
        <v>-2.1927586232929119E-2</v>
      </c>
      <c r="H3">
        <v>7.5750000000000002</v>
      </c>
    </row>
    <row r="4" spans="1:8" x14ac:dyDescent="0.25">
      <c r="A4" s="2">
        <v>45658</v>
      </c>
      <c r="B4">
        <v>14022</v>
      </c>
      <c r="C4">
        <f>(B4/B5)-1</f>
        <v>-4.0180710520911767E-2</v>
      </c>
      <c r="D4">
        <v>79476.600000000006</v>
      </c>
      <c r="E4">
        <f t="shared" si="0"/>
        <v>8.7996657566328684E-2</v>
      </c>
      <c r="H4">
        <v>7.55</v>
      </c>
    </row>
    <row r="5" spans="1:8" x14ac:dyDescent="0.25">
      <c r="A5" s="2">
        <v>45627</v>
      </c>
      <c r="B5">
        <v>14609</v>
      </c>
      <c r="C5">
        <f t="shared" ref="C5:C12" si="1">B5/B6-1</f>
        <v>1.8261657489370586E-2</v>
      </c>
      <c r="D5">
        <v>73048.570000000007</v>
      </c>
      <c r="E5">
        <f t="shared" si="0"/>
        <v>-2.378026941786493E-2</v>
      </c>
      <c r="H5">
        <v>7.4</v>
      </c>
    </row>
    <row r="6" spans="1:8" x14ac:dyDescent="0.25">
      <c r="A6" s="2">
        <v>45597</v>
      </c>
      <c r="B6">
        <v>14347</v>
      </c>
      <c r="C6">
        <f t="shared" si="1"/>
        <v>0.13388129297399831</v>
      </c>
      <c r="D6">
        <v>74828</v>
      </c>
      <c r="E6">
        <f t="shared" si="0"/>
        <v>0.12233610537612316</v>
      </c>
      <c r="H6">
        <v>7.2750000000000004</v>
      </c>
    </row>
    <row r="7" spans="1:8" x14ac:dyDescent="0.25">
      <c r="A7" s="2">
        <v>45566</v>
      </c>
      <c r="B7">
        <v>12653</v>
      </c>
      <c r="C7">
        <f t="shared" si="1"/>
        <v>-6.6474841375239735E-2</v>
      </c>
      <c r="D7">
        <v>66671.649999999994</v>
      </c>
      <c r="E7">
        <f t="shared" si="0"/>
        <v>4.6217601912677431E-2</v>
      </c>
      <c r="H7">
        <v>7.2</v>
      </c>
    </row>
    <row r="8" spans="1:8" x14ac:dyDescent="0.25">
      <c r="A8" s="2">
        <v>45536</v>
      </c>
      <c r="B8">
        <v>13554</v>
      </c>
      <c r="C8">
        <f t="shared" si="1"/>
        <v>5.7831889487239607E-2</v>
      </c>
      <c r="D8">
        <v>63726.37</v>
      </c>
      <c r="E8">
        <f t="shared" si="0"/>
        <v>-5.2496582518971158E-2</v>
      </c>
      <c r="H8">
        <v>7.22</v>
      </c>
    </row>
    <row r="9" spans="1:8" x14ac:dyDescent="0.25">
      <c r="A9" s="2">
        <v>45505</v>
      </c>
      <c r="B9">
        <v>12813</v>
      </c>
      <c r="C9">
        <f t="shared" si="1"/>
        <v>2.1200286921176481E-2</v>
      </c>
      <c r="D9">
        <v>67257.14</v>
      </c>
      <c r="E9">
        <f t="shared" si="0"/>
        <v>-2.4325728330616414E-2</v>
      </c>
      <c r="H9">
        <v>6.88</v>
      </c>
    </row>
    <row r="10" spans="1:8" x14ac:dyDescent="0.25">
      <c r="A10" s="2">
        <v>45474</v>
      </c>
      <c r="B10">
        <v>12547</v>
      </c>
      <c r="C10">
        <f t="shared" si="1"/>
        <v>5.9981414209681505E-2</v>
      </c>
      <c r="D10">
        <v>68934.009999999995</v>
      </c>
      <c r="E10">
        <f t="shared" si="0"/>
        <v>4.0932716893794518E-2</v>
      </c>
      <c r="H10">
        <v>6.84</v>
      </c>
    </row>
    <row r="11" spans="1:8" x14ac:dyDescent="0.25">
      <c r="A11" s="2">
        <v>45444</v>
      </c>
      <c r="B11">
        <v>11837</v>
      </c>
      <c r="C11">
        <f t="shared" si="1"/>
        <v>0.1383919984612425</v>
      </c>
      <c r="D11">
        <v>66223.31</v>
      </c>
      <c r="E11">
        <f t="shared" si="0"/>
        <v>-8.1442133122647919E-2</v>
      </c>
      <c r="H11">
        <v>5.9</v>
      </c>
    </row>
    <row r="12" spans="1:8" x14ac:dyDescent="0.25">
      <c r="A12" s="2">
        <v>45413</v>
      </c>
      <c r="B12">
        <v>10398</v>
      </c>
      <c r="C12">
        <f t="shared" si="1"/>
        <v>7.4617610582885519E-2</v>
      </c>
      <c r="D12">
        <v>72094.87</v>
      </c>
      <c r="E12">
        <f t="shared" si="0"/>
        <v>-4.7403133013291798E-3</v>
      </c>
      <c r="H12">
        <v>5.57</v>
      </c>
    </row>
    <row r="13" spans="1:8" x14ac:dyDescent="0.25">
      <c r="A13" s="2">
        <v>45383</v>
      </c>
      <c r="B13">
        <v>9676</v>
      </c>
      <c r="D13">
        <v>72438.25</v>
      </c>
      <c r="H13">
        <v>5.5</v>
      </c>
    </row>
    <row r="15" spans="1:8" x14ac:dyDescent="0.25">
      <c r="A15" t="s">
        <v>30</v>
      </c>
    </row>
    <row r="16" spans="1:8" ht="15.75" thickBot="1" x14ac:dyDescent="0.3"/>
    <row r="17" spans="1:11" x14ac:dyDescent="0.25">
      <c r="A17" s="5" t="s">
        <v>31</v>
      </c>
      <c r="B17" s="5"/>
    </row>
    <row r="18" spans="1:11" x14ac:dyDescent="0.25">
      <c r="A18" t="s">
        <v>32</v>
      </c>
      <c r="B18">
        <v>2.7431596168893832E-2</v>
      </c>
    </row>
    <row r="19" spans="1:11" x14ac:dyDescent="0.25">
      <c r="A19" t="s">
        <v>33</v>
      </c>
      <c r="B19">
        <v>7.5249246837327084E-4</v>
      </c>
    </row>
    <row r="20" spans="1:11" x14ac:dyDescent="0.25">
      <c r="A20" t="s">
        <v>34</v>
      </c>
      <c r="B20">
        <v>-0.11027500836847415</v>
      </c>
    </row>
    <row r="21" spans="1:11" x14ac:dyDescent="0.25">
      <c r="A21" t="s">
        <v>35</v>
      </c>
      <c r="B21">
        <v>8.5883850251360902E-2</v>
      </c>
    </row>
    <row r="22" spans="1:11" ht="15.75" thickBot="1" x14ac:dyDescent="0.3">
      <c r="A22" s="3" t="s">
        <v>36</v>
      </c>
      <c r="B22" s="3">
        <v>11</v>
      </c>
    </row>
    <row r="24" spans="1:11" ht="15.75" thickBot="1" x14ac:dyDescent="0.3">
      <c r="A24" t="s">
        <v>37</v>
      </c>
      <c r="J24" s="6" t="s">
        <v>64</v>
      </c>
      <c r="K24" s="6">
        <f>AVERAGE(H2:H13)</f>
        <v>6.8737500000000011</v>
      </c>
    </row>
    <row r="25" spans="1:11" x14ac:dyDescent="0.25">
      <c r="A25" s="4"/>
      <c r="B25" s="4" t="s">
        <v>42</v>
      </c>
      <c r="C25" s="4" t="s">
        <v>43</v>
      </c>
      <c r="D25" s="4" t="s">
        <v>44</v>
      </c>
      <c r="E25" s="4" t="s">
        <v>45</v>
      </c>
      <c r="F25" s="4" t="s">
        <v>46</v>
      </c>
      <c r="J25" s="6" t="s">
        <v>58</v>
      </c>
      <c r="K25" s="6">
        <f>B32</f>
        <v>-3.646565128669163E-2</v>
      </c>
    </row>
    <row r="26" spans="1:11" x14ac:dyDescent="0.25">
      <c r="A26" t="s">
        <v>38</v>
      </c>
      <c r="B26">
        <v>1</v>
      </c>
      <c r="C26">
        <v>4.9991320118444871E-5</v>
      </c>
      <c r="D26">
        <v>4.9991320118444871E-5</v>
      </c>
      <c r="E26">
        <v>6.7775322573372411E-3</v>
      </c>
      <c r="F26">
        <v>0.93618953575226072</v>
      </c>
      <c r="J26" s="6" t="s">
        <v>57</v>
      </c>
      <c r="K26" s="6">
        <f>(1+AVERAGE(E2:E12))^(12)-1</f>
        <v>7.646942212530039E-2</v>
      </c>
    </row>
    <row r="27" spans="1:11" x14ac:dyDescent="0.25">
      <c r="A27" t="s">
        <v>39</v>
      </c>
      <c r="B27">
        <v>9</v>
      </c>
      <c r="C27">
        <v>6.6384321605983662E-2</v>
      </c>
      <c r="D27">
        <v>7.3760357339981847E-3</v>
      </c>
      <c r="J27" s="6" t="s">
        <v>67</v>
      </c>
      <c r="K27" s="6">
        <f>K24+K25*(K26-K24)</f>
        <v>7.1216172632505819</v>
      </c>
    </row>
    <row r="28" spans="1:11" ht="15.75" thickBot="1" x14ac:dyDescent="0.3">
      <c r="A28" s="3" t="s">
        <v>40</v>
      </c>
      <c r="B28" s="3">
        <v>10</v>
      </c>
      <c r="C28" s="3">
        <v>6.6434312926102107E-2</v>
      </c>
      <c r="D28" s="3"/>
      <c r="E28" s="3"/>
      <c r="F28" s="3"/>
    </row>
    <row r="29" spans="1:11" ht="15.75" thickBot="1" x14ac:dyDescent="0.3"/>
    <row r="30" spans="1:11" x14ac:dyDescent="0.25">
      <c r="A30" s="4"/>
      <c r="B30" s="4" t="s">
        <v>47</v>
      </c>
      <c r="C30" s="4" t="s">
        <v>35</v>
      </c>
      <c r="D30" s="4" t="s">
        <v>48</v>
      </c>
      <c r="E30" s="4" t="s">
        <v>49</v>
      </c>
      <c r="F30" s="4" t="s">
        <v>50</v>
      </c>
      <c r="G30" s="4" t="s">
        <v>51</v>
      </c>
      <c r="H30" s="4" t="s">
        <v>52</v>
      </c>
      <c r="I30" s="4" t="s">
        <v>53</v>
      </c>
    </row>
    <row r="31" spans="1:11" x14ac:dyDescent="0.25">
      <c r="A31" t="s">
        <v>41</v>
      </c>
      <c r="B31">
        <v>2.1588986677288473E-2</v>
      </c>
      <c r="C31">
        <v>2.6038284157806534E-2</v>
      </c>
      <c r="D31">
        <v>0.82912478204966056</v>
      </c>
      <c r="E31">
        <v>0.42847507274200713</v>
      </c>
      <c r="F31">
        <v>-3.7313704337268612E-2</v>
      </c>
      <c r="G31">
        <v>8.0491677691845565E-2</v>
      </c>
      <c r="H31">
        <v>-3.7313704337268612E-2</v>
      </c>
      <c r="I31">
        <v>8.0491677691845565E-2</v>
      </c>
    </row>
    <row r="32" spans="1:11" ht="15.75" thickBot="1" x14ac:dyDescent="0.3">
      <c r="A32" s="3" t="s">
        <v>54</v>
      </c>
      <c r="B32" s="3">
        <v>-3.646565128669163E-2</v>
      </c>
      <c r="C32" s="3">
        <v>0.44294334188279466</v>
      </c>
      <c r="D32" s="3">
        <v>-8.2325769096537521E-2</v>
      </c>
      <c r="E32" s="3">
        <v>0.93618953575226471</v>
      </c>
      <c r="F32" s="3">
        <v>-1.0384731048406299</v>
      </c>
      <c r="G32" s="3">
        <v>0.96554180226724662</v>
      </c>
      <c r="H32" s="3">
        <v>-1.0384731048406299</v>
      </c>
      <c r="I32" s="3">
        <v>0.96554180226724662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8A41B-2B3E-4FFE-86CF-AE5BC50B7DDA}">
  <dimension ref="A1:K32"/>
  <sheetViews>
    <sheetView topLeftCell="A16" workbookViewId="0">
      <selection activeCell="K26" sqref="K26"/>
    </sheetView>
  </sheetViews>
  <sheetFormatPr defaultRowHeight="15" x14ac:dyDescent="0.25"/>
  <cols>
    <col min="1" max="1" width="12.140625" customWidth="1"/>
  </cols>
  <sheetData>
    <row r="1" spans="1:8" x14ac:dyDescent="0.25">
      <c r="A1" t="s">
        <v>2</v>
      </c>
      <c r="B1" t="s">
        <v>0</v>
      </c>
      <c r="C1" t="s">
        <v>3</v>
      </c>
      <c r="D1" t="s">
        <v>28</v>
      </c>
      <c r="E1" t="s">
        <v>63</v>
      </c>
      <c r="H1" t="s">
        <v>66</v>
      </c>
    </row>
    <row r="2" spans="1:8" x14ac:dyDescent="0.25">
      <c r="A2" s="2">
        <v>45352</v>
      </c>
      <c r="B2">
        <v>8844</v>
      </c>
      <c r="C2">
        <f>B2/B3-1</f>
        <v>-9.4316436251920099E-2</v>
      </c>
      <c r="D2">
        <v>76100.17</v>
      </c>
      <c r="E2">
        <f>D2/D3-1</f>
        <v>-2.101657874488938E-2</v>
      </c>
      <c r="H2">
        <v>7.5750000000000002</v>
      </c>
    </row>
    <row r="3" spans="1:8" x14ac:dyDescent="0.25">
      <c r="A3" s="2">
        <v>45323</v>
      </c>
      <c r="B3">
        <v>9765</v>
      </c>
      <c r="C3">
        <f>B3/B4-1</f>
        <v>-0.13006681514476615</v>
      </c>
      <c r="D3">
        <v>77733.87</v>
      </c>
      <c r="E3">
        <f t="shared" ref="E3:E12" si="0">D3/D4-1</f>
        <v>-2.1927586232929119E-2</v>
      </c>
      <c r="H3">
        <v>7.5750000000000002</v>
      </c>
    </row>
    <row r="4" spans="1:8" x14ac:dyDescent="0.25">
      <c r="A4" s="2">
        <v>45292</v>
      </c>
      <c r="B4">
        <v>11225</v>
      </c>
      <c r="C4">
        <f>(B4/B5)-1</f>
        <v>-4.7921967769296026E-2</v>
      </c>
      <c r="D4">
        <v>79476.600000000006</v>
      </c>
      <c r="E4">
        <f t="shared" si="0"/>
        <v>8.7996657566328684E-2</v>
      </c>
      <c r="H4">
        <v>7.55</v>
      </c>
    </row>
    <row r="5" spans="1:8" x14ac:dyDescent="0.25">
      <c r="A5" s="2">
        <v>45261</v>
      </c>
      <c r="B5">
        <v>11790</v>
      </c>
      <c r="C5">
        <f t="shared" ref="C5:C12" si="1">B5/B6-1</f>
        <v>1.2017167381974225E-2</v>
      </c>
      <c r="D5">
        <v>73048.570000000007</v>
      </c>
      <c r="E5">
        <f t="shared" si="0"/>
        <v>-2.378026941786493E-2</v>
      </c>
      <c r="H5">
        <v>7.4</v>
      </c>
    </row>
    <row r="6" spans="1:8" x14ac:dyDescent="0.25">
      <c r="A6" s="2">
        <v>45231</v>
      </c>
      <c r="B6">
        <v>11650</v>
      </c>
      <c r="C6">
        <f t="shared" si="1"/>
        <v>3.5555555555555562E-2</v>
      </c>
      <c r="D6">
        <v>74828</v>
      </c>
      <c r="E6">
        <f t="shared" si="0"/>
        <v>0.12233610537612316</v>
      </c>
      <c r="H6">
        <v>7.2750000000000004</v>
      </c>
    </row>
    <row r="7" spans="1:8" x14ac:dyDescent="0.25">
      <c r="A7" s="2">
        <v>45200</v>
      </c>
      <c r="B7">
        <v>11250</v>
      </c>
      <c r="C7">
        <f t="shared" si="1"/>
        <v>-3.2507739938080538E-2</v>
      </c>
      <c r="D7">
        <v>66671.649999999994</v>
      </c>
      <c r="E7">
        <f t="shared" si="0"/>
        <v>4.6217601912677431E-2</v>
      </c>
      <c r="H7">
        <v>7.2</v>
      </c>
    </row>
    <row r="8" spans="1:8" x14ac:dyDescent="0.25">
      <c r="A8" s="2">
        <v>45170</v>
      </c>
      <c r="B8">
        <v>11628</v>
      </c>
      <c r="C8">
        <f t="shared" si="1"/>
        <v>0.13167883211678832</v>
      </c>
      <c r="D8">
        <v>63726.37</v>
      </c>
      <c r="E8">
        <f t="shared" si="0"/>
        <v>-5.2496582518971158E-2</v>
      </c>
      <c r="H8">
        <v>7.22</v>
      </c>
    </row>
    <row r="9" spans="1:8" x14ac:dyDescent="0.25">
      <c r="A9" s="2">
        <v>45139</v>
      </c>
      <c r="B9">
        <v>10275</v>
      </c>
      <c r="C9">
        <f t="shared" si="1"/>
        <v>-4.7994070230705121E-2</v>
      </c>
      <c r="D9">
        <v>67257.14</v>
      </c>
      <c r="E9">
        <f t="shared" si="0"/>
        <v>-2.4325728330616414E-2</v>
      </c>
      <c r="H9">
        <v>6.88</v>
      </c>
    </row>
    <row r="10" spans="1:8" x14ac:dyDescent="0.25">
      <c r="A10" s="2">
        <v>45108</v>
      </c>
      <c r="B10">
        <v>10793</v>
      </c>
      <c r="C10">
        <f t="shared" si="1"/>
        <v>2.7904761904761877E-2</v>
      </c>
      <c r="D10">
        <v>68934.009999999995</v>
      </c>
      <c r="E10">
        <f t="shared" si="0"/>
        <v>4.0932716893794518E-2</v>
      </c>
      <c r="H10">
        <v>6.84</v>
      </c>
    </row>
    <row r="11" spans="1:8" x14ac:dyDescent="0.25">
      <c r="A11" s="2">
        <v>45078</v>
      </c>
      <c r="B11">
        <v>10500</v>
      </c>
      <c r="C11">
        <f t="shared" si="1"/>
        <v>-6.6225165562914245E-3</v>
      </c>
      <c r="D11">
        <v>66223.31</v>
      </c>
      <c r="E11">
        <f t="shared" si="0"/>
        <v>-8.1442133122647919E-2</v>
      </c>
      <c r="H11">
        <v>5.9</v>
      </c>
    </row>
    <row r="12" spans="1:8" x14ac:dyDescent="0.25">
      <c r="A12" s="2">
        <v>45047</v>
      </c>
      <c r="B12">
        <v>10570</v>
      </c>
      <c r="C12">
        <f t="shared" si="1"/>
        <v>-0.2471509971509972</v>
      </c>
      <c r="D12">
        <v>72094.87</v>
      </c>
      <c r="E12">
        <f t="shared" si="0"/>
        <v>-4.7403133013291798E-3</v>
      </c>
      <c r="H12">
        <v>5.57</v>
      </c>
    </row>
    <row r="13" spans="1:8" x14ac:dyDescent="0.25">
      <c r="A13" s="2">
        <v>45017</v>
      </c>
      <c r="B13">
        <v>14040</v>
      </c>
      <c r="D13">
        <v>72438.25</v>
      </c>
      <c r="H13">
        <v>5.5</v>
      </c>
    </row>
    <row r="15" spans="1:8" x14ac:dyDescent="0.25">
      <c r="A15" t="s">
        <v>30</v>
      </c>
    </row>
    <row r="16" spans="1:8" ht="15.75" thickBot="1" x14ac:dyDescent="0.3"/>
    <row r="17" spans="1:11" x14ac:dyDescent="0.25">
      <c r="A17" s="5" t="s">
        <v>31</v>
      </c>
      <c r="B17" s="5"/>
    </row>
    <row r="18" spans="1:11" x14ac:dyDescent="0.25">
      <c r="A18" t="s">
        <v>32</v>
      </c>
      <c r="B18">
        <v>4.5344445681739468E-2</v>
      </c>
    </row>
    <row r="19" spans="1:11" x14ac:dyDescent="0.25">
      <c r="A19" t="s">
        <v>33</v>
      </c>
      <c r="B19">
        <v>2.0561187541842212E-3</v>
      </c>
    </row>
    <row r="20" spans="1:11" x14ac:dyDescent="0.25">
      <c r="A20" t="s">
        <v>34</v>
      </c>
      <c r="B20">
        <v>-0.10882653471757309</v>
      </c>
    </row>
    <row r="21" spans="1:11" x14ac:dyDescent="0.25">
      <c r="A21" t="s">
        <v>35</v>
      </c>
      <c r="B21">
        <v>0.10404027543255379</v>
      </c>
    </row>
    <row r="22" spans="1:11" ht="15.75" thickBot="1" x14ac:dyDescent="0.3">
      <c r="A22" s="3" t="s">
        <v>36</v>
      </c>
      <c r="B22" s="3">
        <v>11</v>
      </c>
    </row>
    <row r="24" spans="1:11" ht="15.75" thickBot="1" x14ac:dyDescent="0.3">
      <c r="A24" t="s">
        <v>37</v>
      </c>
      <c r="J24" s="6" t="s">
        <v>64</v>
      </c>
      <c r="K24" s="6">
        <f>AVERAGE(H2:H13)</f>
        <v>6.8737500000000011</v>
      </c>
    </row>
    <row r="25" spans="1:11" x14ac:dyDescent="0.25">
      <c r="A25" s="4"/>
      <c r="B25" s="4" t="s">
        <v>42</v>
      </c>
      <c r="C25" s="4" t="s">
        <v>43</v>
      </c>
      <c r="D25" s="4" t="s">
        <v>44</v>
      </c>
      <c r="E25" s="4" t="s">
        <v>45</v>
      </c>
      <c r="F25" s="4" t="s">
        <v>46</v>
      </c>
      <c r="J25" s="6" t="s">
        <v>58</v>
      </c>
      <c r="K25" s="6">
        <f>B32</f>
        <v>7.3068544638279664E-2</v>
      </c>
    </row>
    <row r="26" spans="1:11" x14ac:dyDescent="0.25">
      <c r="A26" t="s">
        <v>38</v>
      </c>
      <c r="B26">
        <v>1</v>
      </c>
      <c r="C26">
        <v>2.0071857758342804E-4</v>
      </c>
      <c r="D26">
        <v>2.0071857758342804E-4</v>
      </c>
      <c r="E26">
        <v>1.8543195800305508E-2</v>
      </c>
      <c r="F26">
        <v>0.8946814878181828</v>
      </c>
      <c r="J26" s="6" t="s">
        <v>57</v>
      </c>
      <c r="K26" s="6">
        <f>(1+AVERAGE(E2:E12))^(12)-1</f>
        <v>7.646942212530039E-2</v>
      </c>
    </row>
    <row r="27" spans="1:11" x14ac:dyDescent="0.25">
      <c r="A27" t="s">
        <v>39</v>
      </c>
      <c r="B27">
        <v>9</v>
      </c>
      <c r="C27">
        <v>9.7419410208734888E-2</v>
      </c>
      <c r="D27">
        <v>1.0824378912081654E-2</v>
      </c>
      <c r="J27" s="6" t="s">
        <v>67</v>
      </c>
      <c r="K27" s="6">
        <f>K24+K25*(K26-K24)</f>
        <v>6.3770826006766521</v>
      </c>
    </row>
    <row r="28" spans="1:11" ht="15.75" thickBot="1" x14ac:dyDescent="0.3">
      <c r="A28" s="3" t="s">
        <v>40</v>
      </c>
      <c r="B28" s="3">
        <v>10</v>
      </c>
      <c r="C28" s="3">
        <v>9.7620128786318316E-2</v>
      </c>
      <c r="D28" s="3"/>
      <c r="E28" s="3"/>
      <c r="F28" s="3"/>
    </row>
    <row r="29" spans="1:11" ht="15.75" thickBot="1" x14ac:dyDescent="0.3"/>
    <row r="30" spans="1:11" x14ac:dyDescent="0.25">
      <c r="A30" s="4"/>
      <c r="B30" s="4" t="s">
        <v>47</v>
      </c>
      <c r="C30" s="4" t="s">
        <v>35</v>
      </c>
      <c r="D30" s="4" t="s">
        <v>48</v>
      </c>
      <c r="E30" s="4" t="s">
        <v>49</v>
      </c>
      <c r="F30" s="4" t="s">
        <v>50</v>
      </c>
      <c r="G30" s="4" t="s">
        <v>51</v>
      </c>
      <c r="H30" s="4" t="s">
        <v>52</v>
      </c>
      <c r="I30" s="4" t="s">
        <v>53</v>
      </c>
    </row>
    <row r="31" spans="1:11" x14ac:dyDescent="0.25">
      <c r="A31" t="s">
        <v>41</v>
      </c>
      <c r="B31">
        <v>-3.6761354929516404E-2</v>
      </c>
      <c r="C31">
        <v>3.1542953042284765E-2</v>
      </c>
      <c r="D31">
        <v>-1.1654379626484601</v>
      </c>
      <c r="E31">
        <v>0.27379899311426503</v>
      </c>
      <c r="F31">
        <v>-0.10811647208992832</v>
      </c>
      <c r="G31">
        <v>3.4593762230895511E-2</v>
      </c>
      <c r="H31">
        <v>-0.10811647208992832</v>
      </c>
      <c r="I31">
        <v>3.4593762230895511E-2</v>
      </c>
    </row>
    <row r="32" spans="1:11" ht="15.75" thickBot="1" x14ac:dyDescent="0.3">
      <c r="A32" s="3" t="s">
        <v>54</v>
      </c>
      <c r="B32" s="3">
        <v>7.3068544638279664E-2</v>
      </c>
      <c r="C32" s="3">
        <v>0.53658455175944497</v>
      </c>
      <c r="D32" s="3">
        <v>0.13617340342484713</v>
      </c>
      <c r="E32" s="3">
        <v>0.8946814878181808</v>
      </c>
      <c r="F32" s="3">
        <v>-1.1407700425712131</v>
      </c>
      <c r="G32" s="3">
        <v>1.2869071318477725</v>
      </c>
      <c r="H32" s="3">
        <v>-1.1407700425712131</v>
      </c>
      <c r="I32" s="3">
        <v>1.2869071318477725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25DC-26D9-451C-9A55-60FBC69E412E}">
  <dimension ref="A1:K32"/>
  <sheetViews>
    <sheetView topLeftCell="A16" workbookViewId="0">
      <selection activeCell="J24" sqref="J24:K27"/>
    </sheetView>
  </sheetViews>
  <sheetFormatPr defaultRowHeight="15" x14ac:dyDescent="0.25"/>
  <cols>
    <col min="1" max="1" width="10.5703125" customWidth="1"/>
  </cols>
  <sheetData>
    <row r="1" spans="1:8" x14ac:dyDescent="0.25">
      <c r="A1" t="s">
        <v>2</v>
      </c>
      <c r="B1" t="s">
        <v>0</v>
      </c>
      <c r="C1" t="s">
        <v>3</v>
      </c>
      <c r="D1" t="s">
        <v>28</v>
      </c>
      <c r="E1" t="s">
        <v>63</v>
      </c>
      <c r="H1" t="s">
        <v>66</v>
      </c>
    </row>
    <row r="2" spans="1:8" x14ac:dyDescent="0.25">
      <c r="A2" s="2">
        <v>44986</v>
      </c>
      <c r="B2">
        <v>14081</v>
      </c>
      <c r="C2">
        <f>B2/B3-1</f>
        <v>-2.2152777777777799E-2</v>
      </c>
      <c r="D2">
        <v>76100.17</v>
      </c>
      <c r="E2">
        <f>D2/D3-1</f>
        <v>-2.101657874488938E-2</v>
      </c>
      <c r="H2">
        <v>7.5750000000000002</v>
      </c>
    </row>
    <row r="3" spans="1:8" x14ac:dyDescent="0.25">
      <c r="A3" s="2">
        <v>44958</v>
      </c>
      <c r="B3">
        <v>14400</v>
      </c>
      <c r="C3">
        <f>B3/B4-1</f>
        <v>4.7653692251727886E-2</v>
      </c>
      <c r="D3">
        <v>77733.87</v>
      </c>
      <c r="E3">
        <f t="shared" ref="E3:E12" si="0">D3/D4-1</f>
        <v>-2.1927586232929119E-2</v>
      </c>
      <c r="H3">
        <v>7.5750000000000002</v>
      </c>
    </row>
    <row r="4" spans="1:8" x14ac:dyDescent="0.25">
      <c r="A4" s="2">
        <v>44927</v>
      </c>
      <c r="B4">
        <v>13745</v>
      </c>
      <c r="C4">
        <f>(B4/B5)-1</f>
        <v>0.21101321585903077</v>
      </c>
      <c r="D4">
        <v>79476.600000000006</v>
      </c>
      <c r="E4">
        <f t="shared" si="0"/>
        <v>8.7996657566328684E-2</v>
      </c>
      <c r="H4">
        <v>7.55</v>
      </c>
    </row>
    <row r="5" spans="1:8" x14ac:dyDescent="0.25">
      <c r="A5" s="2">
        <v>44896</v>
      </c>
      <c r="B5">
        <v>11350</v>
      </c>
      <c r="C5">
        <f t="shared" ref="C5:C12" si="1">B5/B6-1</f>
        <v>-0.14770593977622593</v>
      </c>
      <c r="D5">
        <v>73048.570000000007</v>
      </c>
      <c r="E5">
        <f t="shared" si="0"/>
        <v>-2.378026941786493E-2</v>
      </c>
      <c r="H5">
        <v>7.4</v>
      </c>
    </row>
    <row r="6" spans="1:8" x14ac:dyDescent="0.25">
      <c r="A6" s="2">
        <v>44866</v>
      </c>
      <c r="B6">
        <v>13317</v>
      </c>
      <c r="C6">
        <f t="shared" si="1"/>
        <v>-0.14497592295345108</v>
      </c>
      <c r="D6">
        <v>74828</v>
      </c>
      <c r="E6">
        <f t="shared" si="0"/>
        <v>0.12233610537612316</v>
      </c>
      <c r="H6">
        <v>7.2750000000000004</v>
      </c>
    </row>
    <row r="7" spans="1:8" x14ac:dyDescent="0.25">
      <c r="A7" s="2">
        <v>44835</v>
      </c>
      <c r="B7">
        <v>15575</v>
      </c>
      <c r="C7">
        <f t="shared" si="1"/>
        <v>8.642578125E-2</v>
      </c>
      <c r="D7">
        <v>66671.649999999994</v>
      </c>
      <c r="E7">
        <f t="shared" si="0"/>
        <v>4.6217601912677431E-2</v>
      </c>
      <c r="H7">
        <v>7.2</v>
      </c>
    </row>
    <row r="8" spans="1:8" x14ac:dyDescent="0.25">
      <c r="A8" s="2">
        <v>44805</v>
      </c>
      <c r="B8">
        <v>14336</v>
      </c>
      <c r="C8">
        <f t="shared" si="1"/>
        <v>-8.44296845063226E-2</v>
      </c>
      <c r="D8">
        <v>63726.37</v>
      </c>
      <c r="E8">
        <f t="shared" si="0"/>
        <v>-5.2496582518971158E-2</v>
      </c>
      <c r="H8">
        <v>7.22</v>
      </c>
    </row>
    <row r="9" spans="1:8" x14ac:dyDescent="0.25">
      <c r="A9" s="2">
        <v>44774</v>
      </c>
      <c r="B9">
        <v>15658</v>
      </c>
      <c r="C9">
        <f t="shared" si="1"/>
        <v>0.16624460002979302</v>
      </c>
      <c r="D9">
        <v>67257.14</v>
      </c>
      <c r="E9">
        <f t="shared" si="0"/>
        <v>-2.4325728330616414E-2</v>
      </c>
      <c r="H9">
        <v>6.88</v>
      </c>
    </row>
    <row r="10" spans="1:8" x14ac:dyDescent="0.25">
      <c r="A10" s="2">
        <v>44743</v>
      </c>
      <c r="B10">
        <v>13426</v>
      </c>
      <c r="C10">
        <f t="shared" si="1"/>
        <v>-2.794671300318563E-2</v>
      </c>
      <c r="D10">
        <v>68934.009999999995</v>
      </c>
      <c r="E10">
        <f t="shared" si="0"/>
        <v>4.0932716893794518E-2</v>
      </c>
      <c r="H10">
        <v>6.84</v>
      </c>
    </row>
    <row r="11" spans="1:8" x14ac:dyDescent="0.25">
      <c r="A11" s="2">
        <v>44713</v>
      </c>
      <c r="B11">
        <v>13812</v>
      </c>
      <c r="C11">
        <f t="shared" si="1"/>
        <v>-9.9080294827473714E-2</v>
      </c>
      <c r="D11">
        <v>66223.31</v>
      </c>
      <c r="E11">
        <f t="shared" si="0"/>
        <v>-8.1442133122647919E-2</v>
      </c>
      <c r="H11">
        <v>5.9</v>
      </c>
    </row>
    <row r="12" spans="1:8" x14ac:dyDescent="0.25">
      <c r="A12" s="2">
        <v>44682</v>
      </c>
      <c r="B12">
        <v>15331</v>
      </c>
      <c r="C12">
        <f t="shared" si="1"/>
        <v>-7.3487641264277537E-2</v>
      </c>
      <c r="D12">
        <v>72094.87</v>
      </c>
      <c r="E12">
        <f t="shared" si="0"/>
        <v>-4.7403133013291798E-3</v>
      </c>
      <c r="H12">
        <v>5.57</v>
      </c>
    </row>
    <row r="13" spans="1:8" x14ac:dyDescent="0.25">
      <c r="A13" s="2">
        <v>44652</v>
      </c>
      <c r="B13">
        <v>16547</v>
      </c>
      <c r="D13">
        <v>72438.25</v>
      </c>
      <c r="H13">
        <v>5.5</v>
      </c>
    </row>
    <row r="15" spans="1:8" x14ac:dyDescent="0.25">
      <c r="A15" t="s">
        <v>30</v>
      </c>
    </row>
    <row r="16" spans="1:8" ht="15.75" thickBot="1" x14ac:dyDescent="0.3"/>
    <row r="17" spans="1:11" x14ac:dyDescent="0.25">
      <c r="A17" s="5" t="s">
        <v>31</v>
      </c>
      <c r="B17" s="5"/>
    </row>
    <row r="18" spans="1:11" x14ac:dyDescent="0.25">
      <c r="A18" t="s">
        <v>32</v>
      </c>
      <c r="B18">
        <v>0.21431258358746857</v>
      </c>
    </row>
    <row r="19" spans="1:11" x14ac:dyDescent="0.25">
      <c r="A19" t="s">
        <v>33</v>
      </c>
      <c r="B19">
        <v>4.5929883483935709E-2</v>
      </c>
    </row>
    <row r="20" spans="1:11" x14ac:dyDescent="0.25">
      <c r="A20" t="s">
        <v>34</v>
      </c>
      <c r="B20">
        <v>-6.0077907240071435E-2</v>
      </c>
    </row>
    <row r="21" spans="1:11" x14ac:dyDescent="0.25">
      <c r="A21" t="s">
        <v>35</v>
      </c>
      <c r="B21">
        <v>0.12510628465843171</v>
      </c>
    </row>
    <row r="22" spans="1:11" ht="15.75" thickBot="1" x14ac:dyDescent="0.3">
      <c r="A22" s="3" t="s">
        <v>36</v>
      </c>
      <c r="B22" s="3">
        <v>11</v>
      </c>
    </row>
    <row r="24" spans="1:11" ht="15.75" thickBot="1" x14ac:dyDescent="0.3">
      <c r="A24" t="s">
        <v>37</v>
      </c>
      <c r="J24" s="6" t="s">
        <v>64</v>
      </c>
      <c r="K24" s="6">
        <f>AVERAGE(H2:H13)</f>
        <v>6.8737500000000011</v>
      </c>
    </row>
    <row r="25" spans="1:11" x14ac:dyDescent="0.25">
      <c r="A25" s="4"/>
      <c r="B25" s="4" t="s">
        <v>42</v>
      </c>
      <c r="C25" s="4" t="s">
        <v>43</v>
      </c>
      <c r="D25" s="4" t="s">
        <v>44</v>
      </c>
      <c r="E25" s="4" t="s">
        <v>45</v>
      </c>
      <c r="F25" s="4" t="s">
        <v>46</v>
      </c>
      <c r="J25" s="6" t="s">
        <v>58</v>
      </c>
      <c r="K25" s="6">
        <f>B32</f>
        <v>0.42471204586670475</v>
      </c>
    </row>
    <row r="26" spans="1:11" x14ac:dyDescent="0.25">
      <c r="A26" t="s">
        <v>38</v>
      </c>
      <c r="B26">
        <v>1</v>
      </c>
      <c r="C26">
        <v>6.7813445961365515E-3</v>
      </c>
      <c r="D26">
        <v>6.7813445961365515E-3</v>
      </c>
      <c r="E26">
        <v>0.43326894344506095</v>
      </c>
      <c r="F26">
        <v>0.52686638781401585</v>
      </c>
      <c r="J26" s="6" t="s">
        <v>57</v>
      </c>
      <c r="K26" s="6">
        <f>(1+AVERAGE(E2:E12))^(12)-1</f>
        <v>7.646942212530039E-2</v>
      </c>
    </row>
    <row r="27" spans="1:11" x14ac:dyDescent="0.25">
      <c r="A27" t="s">
        <v>39</v>
      </c>
      <c r="B27">
        <v>9</v>
      </c>
      <c r="C27">
        <v>0.14086424214932891</v>
      </c>
      <c r="D27">
        <v>1.5651582461036546E-2</v>
      </c>
      <c r="J27" s="6" t="s">
        <v>67</v>
      </c>
      <c r="K27" s="6">
        <f>K24+K25*(K26-K24)</f>
        <v>3.9868630594408199</v>
      </c>
    </row>
    <row r="28" spans="1:11" ht="15.75" thickBot="1" x14ac:dyDescent="0.3">
      <c r="A28" s="3" t="s">
        <v>40</v>
      </c>
      <c r="B28" s="3">
        <v>10</v>
      </c>
      <c r="C28" s="3">
        <v>0.14764558674546546</v>
      </c>
      <c r="D28" s="3"/>
      <c r="E28" s="3"/>
      <c r="F28" s="3"/>
    </row>
    <row r="29" spans="1:11" ht="15.75" thickBot="1" x14ac:dyDescent="0.3"/>
    <row r="30" spans="1:11" x14ac:dyDescent="0.25">
      <c r="A30" s="4"/>
      <c r="B30" s="4" t="s">
        <v>47</v>
      </c>
      <c r="C30" s="4" t="s">
        <v>35</v>
      </c>
      <c r="D30" s="4" t="s">
        <v>48</v>
      </c>
      <c r="E30" s="4" t="s">
        <v>49</v>
      </c>
      <c r="F30" s="4" t="s">
        <v>50</v>
      </c>
      <c r="G30" s="4" t="s">
        <v>51</v>
      </c>
      <c r="H30" s="4" t="s">
        <v>52</v>
      </c>
      <c r="I30" s="4" t="s">
        <v>53</v>
      </c>
    </row>
    <row r="31" spans="1:11" x14ac:dyDescent="0.25">
      <c r="A31" t="s">
        <v>41</v>
      </c>
      <c r="B31">
        <v>-1.065614345357541E-2</v>
      </c>
      <c r="C31">
        <v>3.7929750242095814E-2</v>
      </c>
      <c r="D31">
        <v>-0.28094420304800305</v>
      </c>
      <c r="E31">
        <v>0.78510499230022202</v>
      </c>
      <c r="F31">
        <v>-9.645919964687942E-2</v>
      </c>
      <c r="G31">
        <v>7.5146912739728608E-2</v>
      </c>
      <c r="H31">
        <v>-9.645919964687942E-2</v>
      </c>
      <c r="I31">
        <v>7.5146912739728608E-2</v>
      </c>
    </row>
    <row r="32" spans="1:11" ht="15.75" thickBot="1" x14ac:dyDescent="0.3">
      <c r="A32" s="3" t="s">
        <v>54</v>
      </c>
      <c r="B32" s="3">
        <v>0.42471204586670475</v>
      </c>
      <c r="C32" s="3">
        <v>0.64523185272853845</v>
      </c>
      <c r="D32" s="3">
        <v>0.65823167915640601</v>
      </c>
      <c r="E32" s="3">
        <v>0.52686638781401551</v>
      </c>
      <c r="F32" s="3">
        <v>-1.0349038114487152</v>
      </c>
      <c r="G32" s="3">
        <v>1.884327903182125</v>
      </c>
      <c r="H32" s="3">
        <v>-1.0349038114487152</v>
      </c>
      <c r="I32" s="3">
        <v>1.884327903182125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7FC4-6C65-4CBA-88A8-EEE14DA63BA1}">
  <dimension ref="E2:H45"/>
  <sheetViews>
    <sheetView topLeftCell="A30" workbookViewId="0">
      <selection activeCell="C44" sqref="C44"/>
    </sheetView>
  </sheetViews>
  <sheetFormatPr defaultRowHeight="15" x14ac:dyDescent="0.25"/>
  <cols>
    <col min="5" max="5" width="12" customWidth="1"/>
    <col min="6" max="6" width="12.140625" customWidth="1"/>
    <col min="7" max="7" width="10.85546875" bestFit="1" customWidth="1"/>
    <col min="8" max="8" width="11.85546875" customWidth="1"/>
  </cols>
  <sheetData>
    <row r="2" spans="5:8" x14ac:dyDescent="0.25">
      <c r="F2">
        <v>2025</v>
      </c>
      <c r="G2">
        <v>2024</v>
      </c>
      <c r="H2">
        <v>2023</v>
      </c>
    </row>
    <row r="3" spans="5:8" x14ac:dyDescent="0.25">
      <c r="E3" t="s">
        <v>70</v>
      </c>
      <c r="F3">
        <v>6514.5</v>
      </c>
      <c r="G3" s="1">
        <v>4500</v>
      </c>
      <c r="H3">
        <v>0</v>
      </c>
    </row>
    <row r="4" spans="5:8" x14ac:dyDescent="0.25">
      <c r="E4" t="s">
        <v>71</v>
      </c>
      <c r="F4">
        <v>680</v>
      </c>
      <c r="G4" s="1">
        <v>5179</v>
      </c>
      <c r="H4" s="1">
        <v>2800</v>
      </c>
    </row>
    <row r="5" spans="5:8" x14ac:dyDescent="0.25">
      <c r="E5" t="s">
        <v>72</v>
      </c>
      <c r="F5">
        <v>532.79999999999995</v>
      </c>
      <c r="G5">
        <v>1766</v>
      </c>
      <c r="H5" s="8">
        <v>2869.4</v>
      </c>
    </row>
    <row r="6" spans="5:8" x14ac:dyDescent="0.25">
      <c r="E6" s="7" t="s">
        <v>73</v>
      </c>
      <c r="F6" s="7">
        <f t="shared" ref="F6:H6" si="0">SUM(F3:F5)</f>
        <v>7727.3</v>
      </c>
      <c r="G6" s="7">
        <f t="shared" si="0"/>
        <v>11445</v>
      </c>
      <c r="H6" s="7">
        <f t="shared" si="0"/>
        <v>5669.4</v>
      </c>
    </row>
    <row r="7" spans="5:8" x14ac:dyDescent="0.25">
      <c r="E7" t="s">
        <v>100</v>
      </c>
      <c r="F7" s="1"/>
      <c r="G7" s="1"/>
      <c r="H7" s="8"/>
    </row>
    <row r="8" spans="5:8" x14ac:dyDescent="0.25">
      <c r="E8" t="s">
        <v>101</v>
      </c>
      <c r="F8" s="1">
        <v>0</v>
      </c>
      <c r="G8" s="1">
        <v>1.5</v>
      </c>
      <c r="H8" s="8">
        <v>18.7</v>
      </c>
    </row>
    <row r="9" spans="5:8" x14ac:dyDescent="0.25">
      <c r="E9" t="s">
        <v>102</v>
      </c>
      <c r="F9" s="1">
        <v>1.8</v>
      </c>
      <c r="G9" s="1">
        <v>2.2999999999999998</v>
      </c>
      <c r="H9" s="8">
        <v>15.2</v>
      </c>
    </row>
    <row r="10" spans="5:8" x14ac:dyDescent="0.25">
      <c r="E10" t="s">
        <v>103</v>
      </c>
      <c r="F10" s="1">
        <f>SUM(F8:F9)</f>
        <v>1.8</v>
      </c>
      <c r="G10" s="1">
        <f t="shared" ref="G10:H10" si="1">SUM(G8:G9)</f>
        <v>3.8</v>
      </c>
      <c r="H10" s="1">
        <f t="shared" si="1"/>
        <v>33.9</v>
      </c>
    </row>
    <row r="11" spans="5:8" x14ac:dyDescent="0.25">
      <c r="E11" t="s">
        <v>74</v>
      </c>
      <c r="F11" s="1">
        <v>7075.6</v>
      </c>
      <c r="G11" s="1">
        <v>16868</v>
      </c>
      <c r="H11" s="8">
        <v>15133.2</v>
      </c>
    </row>
    <row r="12" spans="5:8" x14ac:dyDescent="0.25">
      <c r="E12" t="s">
        <v>75</v>
      </c>
      <c r="F12" s="1">
        <v>1462.6</v>
      </c>
      <c r="G12" s="1">
        <v>2838</v>
      </c>
      <c r="H12" s="8">
        <v>2470.8000000000002</v>
      </c>
    </row>
    <row r="13" spans="5:8" x14ac:dyDescent="0.25">
      <c r="E13" s="7" t="s">
        <v>76</v>
      </c>
      <c r="F13" s="9">
        <f>SUM(F11:F12)</f>
        <v>8538.2000000000007</v>
      </c>
      <c r="G13" s="9">
        <f t="shared" ref="G13:H13" si="2">SUM(G11:G12)</f>
        <v>19706</v>
      </c>
      <c r="H13" s="9">
        <f t="shared" si="2"/>
        <v>17604</v>
      </c>
    </row>
    <row r="14" spans="5:8" x14ac:dyDescent="0.25">
      <c r="E14" t="s">
        <v>77</v>
      </c>
      <c r="F14" s="1">
        <f>F6+F13+F10</f>
        <v>16267.3</v>
      </c>
      <c r="G14" s="1">
        <f>G6+G13+G10</f>
        <v>31154.799999999999</v>
      </c>
      <c r="H14" s="1">
        <f>H6+H13+H10</f>
        <v>23307.300000000003</v>
      </c>
    </row>
    <row r="15" spans="5:8" x14ac:dyDescent="0.25">
      <c r="F15">
        <v>2025</v>
      </c>
      <c r="G15">
        <v>2024</v>
      </c>
      <c r="H15">
        <v>2023</v>
      </c>
    </row>
    <row r="16" spans="5:8" x14ac:dyDescent="0.25">
      <c r="E16" t="s">
        <v>78</v>
      </c>
    </row>
    <row r="17" spans="5:8" x14ac:dyDescent="0.25">
      <c r="E17" t="s">
        <v>105</v>
      </c>
      <c r="F17">
        <v>417</v>
      </c>
      <c r="G17">
        <v>164.7</v>
      </c>
      <c r="H17">
        <v>226.3</v>
      </c>
    </row>
    <row r="18" spans="5:8" x14ac:dyDescent="0.25">
      <c r="E18" t="s">
        <v>106</v>
      </c>
      <c r="F18">
        <v>12.3</v>
      </c>
      <c r="G18">
        <v>12.4</v>
      </c>
      <c r="H18">
        <v>10.6</v>
      </c>
    </row>
    <row r="19" spans="5:8" x14ac:dyDescent="0.25">
      <c r="E19" t="s">
        <v>107</v>
      </c>
      <c r="F19">
        <v>0.4</v>
      </c>
      <c r="G19">
        <v>3.8</v>
      </c>
      <c r="H19">
        <v>9.9</v>
      </c>
    </row>
    <row r="20" spans="5:8" x14ac:dyDescent="0.25">
      <c r="E20" t="s">
        <v>108</v>
      </c>
      <c r="F20">
        <v>221.1</v>
      </c>
      <c r="G20">
        <v>378.3</v>
      </c>
      <c r="H20">
        <v>301.60000000000002</v>
      </c>
    </row>
    <row r="21" spans="5:8" x14ac:dyDescent="0.25">
      <c r="E21" t="s">
        <v>109</v>
      </c>
      <c r="F21">
        <v>0.7</v>
      </c>
      <c r="G21">
        <v>9.5</v>
      </c>
      <c r="H21">
        <v>13.6</v>
      </c>
    </row>
    <row r="22" spans="5:8" x14ac:dyDescent="0.25">
      <c r="E22" t="s">
        <v>110</v>
      </c>
      <c r="F22">
        <f>SUM(F17:F21)</f>
        <v>651.5</v>
      </c>
      <c r="G22">
        <f t="shared" ref="G22:H22" si="3">SUM(G17:G21)</f>
        <v>568.70000000000005</v>
      </c>
      <c r="H22">
        <f t="shared" si="3"/>
        <v>562.00000000000011</v>
      </c>
    </row>
    <row r="23" spans="5:8" x14ac:dyDescent="0.25">
      <c r="E23" t="s">
        <v>80</v>
      </c>
      <c r="F23" s="1">
        <v>1769</v>
      </c>
      <c r="G23" s="1">
        <v>1631</v>
      </c>
      <c r="H23" s="8">
        <v>1342.5</v>
      </c>
    </row>
    <row r="24" spans="5:8" x14ac:dyDescent="0.25">
      <c r="E24" s="7" t="s">
        <v>81</v>
      </c>
      <c r="F24" s="7">
        <f t="shared" ref="F24:H24" si="4">SUM(F22:F23)</f>
        <v>2420.5</v>
      </c>
      <c r="G24" s="7">
        <f t="shared" si="4"/>
        <v>2199.6999999999998</v>
      </c>
      <c r="H24" s="7">
        <f t="shared" si="4"/>
        <v>1904.5</v>
      </c>
    </row>
    <row r="26" spans="5:8" x14ac:dyDescent="0.25">
      <c r="E26" t="s">
        <v>82</v>
      </c>
      <c r="F26">
        <v>2025</v>
      </c>
      <c r="G26">
        <v>2024</v>
      </c>
      <c r="H26">
        <v>2023</v>
      </c>
    </row>
    <row r="27" spans="5:8" x14ac:dyDescent="0.25">
      <c r="E27" t="s">
        <v>83</v>
      </c>
      <c r="F27">
        <f>(F6+G6)/2</f>
        <v>9586.15</v>
      </c>
      <c r="G27">
        <f>(G6+H6)/2</f>
        <v>8557.2000000000007</v>
      </c>
      <c r="H27" t="e">
        <f>(H6+#REF!)/2</f>
        <v>#REF!</v>
      </c>
    </row>
    <row r="28" spans="5:8" x14ac:dyDescent="0.25">
      <c r="E28" t="s">
        <v>86</v>
      </c>
      <c r="F28">
        <f>F22/F27</f>
        <v>6.7962633591170593E-2</v>
      </c>
      <c r="G28">
        <f>G22/G27</f>
        <v>6.6458654700135553E-2</v>
      </c>
      <c r="H28" t="e">
        <f>H22/H27</f>
        <v>#REF!</v>
      </c>
    </row>
    <row r="29" spans="5:8" x14ac:dyDescent="0.25">
      <c r="E29" t="s">
        <v>84</v>
      </c>
      <c r="F29">
        <f>(F13+G13)/2</f>
        <v>14122.1</v>
      </c>
      <c r="G29">
        <f>(G13+H13)/2</f>
        <v>18655</v>
      </c>
      <c r="H29" t="e">
        <f>(H13+#REF!)/2</f>
        <v>#REF!</v>
      </c>
    </row>
    <row r="30" spans="5:8" x14ac:dyDescent="0.25">
      <c r="E30" t="s">
        <v>87</v>
      </c>
      <c r="F30">
        <f>F23/F29</f>
        <v>0.12526465610638643</v>
      </c>
      <c r="G30">
        <f>G23/G29</f>
        <v>8.7429643527204504E-2</v>
      </c>
      <c r="H30" t="e">
        <f>H23/H29</f>
        <v>#REF!</v>
      </c>
    </row>
    <row r="31" spans="5:8" x14ac:dyDescent="0.25">
      <c r="E31" t="s">
        <v>85</v>
      </c>
      <c r="F31">
        <f>(F14+G14)/2</f>
        <v>23711.05</v>
      </c>
      <c r="G31">
        <f>(G14+H14)/2</f>
        <v>27231.050000000003</v>
      </c>
      <c r="H31" t="e">
        <f>(H14+#REF!)/2</f>
        <v>#REF!</v>
      </c>
    </row>
    <row r="32" spans="5:8" x14ac:dyDescent="0.25">
      <c r="E32" s="7" t="s">
        <v>88</v>
      </c>
      <c r="F32" s="7">
        <f>F27/F31</f>
        <v>0.40429040468473559</v>
      </c>
      <c r="G32" s="7">
        <f>G27/G31</f>
        <v>0.31424421753843496</v>
      </c>
      <c r="H32" s="7" t="e">
        <f>H27/H31</f>
        <v>#REF!</v>
      </c>
    </row>
    <row r="33" spans="5:8" x14ac:dyDescent="0.25">
      <c r="E33" s="7" t="s">
        <v>89</v>
      </c>
      <c r="F33" s="7">
        <f>F29/F31</f>
        <v>0.59559150691344331</v>
      </c>
      <c r="G33" s="7">
        <f>G29/G31</f>
        <v>0.6850635579604899</v>
      </c>
      <c r="H33" s="7" t="e">
        <f>H29/H31</f>
        <v>#REF!</v>
      </c>
    </row>
    <row r="35" spans="5:8" x14ac:dyDescent="0.25">
      <c r="E35" s="7" t="s">
        <v>90</v>
      </c>
      <c r="F35" s="7">
        <f>F32*F28+F33*F30</f>
        <v>0.10208320593141172</v>
      </c>
      <c r="G35" s="7">
        <f>G32*G28+G33*G30</f>
        <v>8.0779110610865165E-2</v>
      </c>
      <c r="H35" s="7" t="e">
        <f>H32*H28+H33*H30</f>
        <v>#REF!</v>
      </c>
    </row>
    <row r="36" spans="5:8" x14ac:dyDescent="0.25">
      <c r="E36" t="s">
        <v>91</v>
      </c>
      <c r="F36">
        <v>7.1216169999999995E-2</v>
      </c>
      <c r="G36">
        <v>6.3770830000000001E-2</v>
      </c>
      <c r="H36">
        <v>3.9868630000000002E-2</v>
      </c>
    </row>
    <row r="37" spans="5:8" x14ac:dyDescent="0.25">
      <c r="E37" t="s">
        <v>92</v>
      </c>
      <c r="F37" s="1">
        <f>F14</f>
        <v>16267.3</v>
      </c>
      <c r="G37" s="1">
        <f>G14</f>
        <v>31154.799999999999</v>
      </c>
      <c r="H37" s="1">
        <f>H14</f>
        <v>23307.300000000003</v>
      </c>
    </row>
    <row r="38" spans="5:8" x14ac:dyDescent="0.25">
      <c r="E38" t="s">
        <v>93</v>
      </c>
      <c r="F38">
        <v>0.27</v>
      </c>
      <c r="G38">
        <v>0.27</v>
      </c>
      <c r="H38">
        <v>0.28000000000000003</v>
      </c>
    </row>
    <row r="39" spans="5:8" x14ac:dyDescent="0.25">
      <c r="E39" t="s">
        <v>94</v>
      </c>
      <c r="F39">
        <v>192602305</v>
      </c>
      <c r="G39">
        <v>192602305</v>
      </c>
      <c r="H39">
        <v>192602305</v>
      </c>
    </row>
    <row r="40" spans="5:8" x14ac:dyDescent="0.25">
      <c r="E40" t="s">
        <v>95</v>
      </c>
      <c r="F40">
        <v>0</v>
      </c>
      <c r="G40">
        <v>0</v>
      </c>
      <c r="H40">
        <v>0</v>
      </c>
    </row>
    <row r="41" spans="5:8" x14ac:dyDescent="0.25">
      <c r="E41" s="7" t="s">
        <v>111</v>
      </c>
      <c r="F41" s="9">
        <f>F39-F40</f>
        <v>192602305</v>
      </c>
      <c r="G41" s="9">
        <f t="shared" ref="G41:H41" si="5">G39-G40</f>
        <v>192602305</v>
      </c>
      <c r="H41" s="9">
        <f t="shared" si="5"/>
        <v>192602305</v>
      </c>
    </row>
    <row r="42" spans="5:8" x14ac:dyDescent="0.25">
      <c r="E42" t="s">
        <v>96</v>
      </c>
      <c r="F42">
        <v>118.23</v>
      </c>
      <c r="G42">
        <v>88.44</v>
      </c>
      <c r="H42">
        <v>140.81</v>
      </c>
    </row>
    <row r="43" spans="5:8" x14ac:dyDescent="0.25">
      <c r="E43" t="s">
        <v>97</v>
      </c>
      <c r="F43">
        <f>F41*F42</f>
        <v>22771370520.150002</v>
      </c>
      <c r="G43">
        <f>G41*G42</f>
        <v>17033747854.199999</v>
      </c>
      <c r="H43">
        <f>H41*H42</f>
        <v>27120330567.049999</v>
      </c>
    </row>
    <row r="45" spans="5:8" x14ac:dyDescent="0.25">
      <c r="E45" t="s">
        <v>98</v>
      </c>
      <c r="F45">
        <f>(F43/(F43+F37))*F36+(F37/(F37+F43))*F35*(1-F38)</f>
        <v>7.121617236070106E-2</v>
      </c>
      <c r="G45">
        <f>(G43/(G43+G37))*G36+(G37/(G37+G43))*G35*(1-G38)</f>
        <v>6.377082121699193E-2</v>
      </c>
      <c r="H45" t="e">
        <f>(H43/(H43+H37))*H36+(H37/(H37+H43))*H35*(1-H38)</f>
        <v>#REF!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B7FC-D250-4153-A5A4-AA139BD21A86}">
  <dimension ref="A1:K32"/>
  <sheetViews>
    <sheetView topLeftCell="A16" workbookViewId="0">
      <selection activeCell="J24" sqref="J24:K27"/>
    </sheetView>
  </sheetViews>
  <sheetFormatPr defaultRowHeight="15" x14ac:dyDescent="0.25"/>
  <cols>
    <col min="1" max="1" width="11.85546875" customWidth="1"/>
  </cols>
  <sheetData>
    <row r="1" spans="1:8" x14ac:dyDescent="0.25">
      <c r="A1" t="s">
        <v>2</v>
      </c>
      <c r="B1" t="s">
        <v>0</v>
      </c>
      <c r="C1" t="s">
        <v>3</v>
      </c>
      <c r="D1" t="s">
        <v>28</v>
      </c>
      <c r="E1" t="s">
        <v>63</v>
      </c>
      <c r="H1" t="s">
        <v>66</v>
      </c>
    </row>
    <row r="2" spans="1:8" x14ac:dyDescent="0.25">
      <c r="A2" s="2">
        <v>45717</v>
      </c>
      <c r="B2">
        <v>5100</v>
      </c>
      <c r="C2">
        <f>B2/B3-1</f>
        <v>-0.12431318681318682</v>
      </c>
      <c r="D2">
        <v>76100.17</v>
      </c>
      <c r="E2">
        <f>D2/D3-1</f>
        <v>-2.101657874488938E-2</v>
      </c>
      <c r="H2">
        <v>7.5750000000000002</v>
      </c>
    </row>
    <row r="3" spans="1:8" x14ac:dyDescent="0.25">
      <c r="A3" s="2">
        <v>45689</v>
      </c>
      <c r="B3">
        <v>5824</v>
      </c>
      <c r="C3">
        <f>B3/B4-1</f>
        <v>-1.0291595197255976E-3</v>
      </c>
      <c r="D3">
        <v>77733.87</v>
      </c>
      <c r="E3">
        <f t="shared" ref="E3:E12" si="0">D3/D4-1</f>
        <v>-2.1927586232929119E-2</v>
      </c>
      <c r="H3">
        <v>7.5750000000000002</v>
      </c>
    </row>
    <row r="4" spans="1:8" x14ac:dyDescent="0.25">
      <c r="A4" s="2">
        <v>45658</v>
      </c>
      <c r="B4">
        <v>5830</v>
      </c>
      <c r="C4">
        <f>(B4/B5)-1</f>
        <v>-6.4955894145950266E-2</v>
      </c>
      <c r="D4">
        <v>79476.600000000006</v>
      </c>
      <c r="E4">
        <f t="shared" si="0"/>
        <v>8.7996657566328684E-2</v>
      </c>
      <c r="H4">
        <v>7.55</v>
      </c>
    </row>
    <row r="5" spans="1:8" x14ac:dyDescent="0.25">
      <c r="A5" s="2">
        <v>45627</v>
      </c>
      <c r="B5">
        <v>6235</v>
      </c>
      <c r="C5">
        <f t="shared" ref="C5:C12" si="1">B5/B6-1</f>
        <v>-7.7975811584978238E-3</v>
      </c>
      <c r="D5">
        <v>73048.570000000007</v>
      </c>
      <c r="E5">
        <f t="shared" si="0"/>
        <v>-2.378026941786493E-2</v>
      </c>
      <c r="H5">
        <v>7.4</v>
      </c>
    </row>
    <row r="6" spans="1:8" x14ac:dyDescent="0.25">
      <c r="A6" s="2">
        <v>45597</v>
      </c>
      <c r="B6">
        <v>6284</v>
      </c>
      <c r="C6">
        <f t="shared" si="1"/>
        <v>-3.4715821812596026E-2</v>
      </c>
      <c r="D6">
        <v>74828</v>
      </c>
      <c r="E6">
        <f t="shared" si="0"/>
        <v>0.12233610537612316</v>
      </c>
      <c r="H6">
        <v>7.2750000000000004</v>
      </c>
    </row>
    <row r="7" spans="1:8" x14ac:dyDescent="0.25">
      <c r="A7" s="2">
        <v>45566</v>
      </c>
      <c r="B7">
        <v>6510</v>
      </c>
      <c r="C7">
        <f t="shared" si="1"/>
        <v>-4.4193216855087369E-2</v>
      </c>
      <c r="D7">
        <v>66671.649999999994</v>
      </c>
      <c r="E7">
        <f t="shared" si="0"/>
        <v>4.6217601912677431E-2</v>
      </c>
      <c r="H7">
        <v>7.2</v>
      </c>
    </row>
    <row r="8" spans="1:8" x14ac:dyDescent="0.25">
      <c r="A8" s="2">
        <v>45536</v>
      </c>
      <c r="B8">
        <v>6811</v>
      </c>
      <c r="C8">
        <f t="shared" si="1"/>
        <v>5.3356016084132429E-2</v>
      </c>
      <c r="D8">
        <v>63726.37</v>
      </c>
      <c r="E8">
        <f t="shared" si="0"/>
        <v>-5.2496582518971158E-2</v>
      </c>
      <c r="H8">
        <v>7.22</v>
      </c>
    </row>
    <row r="9" spans="1:8" x14ac:dyDescent="0.25">
      <c r="A9" s="2">
        <v>45505</v>
      </c>
      <c r="B9">
        <v>6466</v>
      </c>
      <c r="C9">
        <f t="shared" si="1"/>
        <v>7.4086378737541425E-2</v>
      </c>
      <c r="D9">
        <v>67257.14</v>
      </c>
      <c r="E9">
        <f t="shared" si="0"/>
        <v>-2.4325728330616414E-2</v>
      </c>
      <c r="H9">
        <v>6.88</v>
      </c>
    </row>
    <row r="10" spans="1:8" x14ac:dyDescent="0.25">
      <c r="A10" s="2">
        <v>45474</v>
      </c>
      <c r="B10">
        <v>6020</v>
      </c>
      <c r="C10">
        <f t="shared" si="1"/>
        <v>-2.5574619617999339E-2</v>
      </c>
      <c r="D10">
        <v>68934.009999999995</v>
      </c>
      <c r="E10">
        <f t="shared" si="0"/>
        <v>4.0932716893794518E-2</v>
      </c>
      <c r="H10">
        <v>6.84</v>
      </c>
    </row>
    <row r="11" spans="1:8" x14ac:dyDescent="0.25">
      <c r="A11" s="2">
        <v>45444</v>
      </c>
      <c r="B11">
        <v>6178</v>
      </c>
      <c r="C11">
        <f t="shared" si="1"/>
        <v>0.13461891643709833</v>
      </c>
      <c r="D11">
        <v>66223.31</v>
      </c>
      <c r="E11">
        <f t="shared" si="0"/>
        <v>-8.1442133122647919E-2</v>
      </c>
      <c r="H11">
        <v>5.9</v>
      </c>
    </row>
    <row r="12" spans="1:8" x14ac:dyDescent="0.25">
      <c r="A12" s="2">
        <v>45413</v>
      </c>
      <c r="B12">
        <v>5445</v>
      </c>
      <c r="C12">
        <f t="shared" si="1"/>
        <v>-9.4763092269326665E-2</v>
      </c>
      <c r="D12">
        <v>72094.87</v>
      </c>
      <c r="E12">
        <f t="shared" si="0"/>
        <v>-4.7403133013291798E-3</v>
      </c>
      <c r="H12">
        <v>5.57</v>
      </c>
    </row>
    <row r="13" spans="1:8" x14ac:dyDescent="0.25">
      <c r="A13" s="2">
        <v>45383</v>
      </c>
      <c r="B13">
        <v>6015</v>
      </c>
      <c r="D13">
        <v>72438.25</v>
      </c>
      <c r="H13">
        <v>5.5</v>
      </c>
    </row>
    <row r="15" spans="1:8" x14ac:dyDescent="0.25">
      <c r="A15" t="s">
        <v>30</v>
      </c>
    </row>
    <row r="16" spans="1:8" ht="15.75" thickBot="1" x14ac:dyDescent="0.3"/>
    <row r="17" spans="1:11" x14ac:dyDescent="0.25">
      <c r="A17" s="5" t="s">
        <v>31</v>
      </c>
      <c r="B17" s="5"/>
    </row>
    <row r="18" spans="1:11" x14ac:dyDescent="0.25">
      <c r="A18" t="s">
        <v>32</v>
      </c>
      <c r="B18">
        <v>0.52811443830977445</v>
      </c>
    </row>
    <row r="19" spans="1:11" x14ac:dyDescent="0.25">
      <c r="A19" t="s">
        <v>33</v>
      </c>
      <c r="B19">
        <v>0.27890485995124858</v>
      </c>
    </row>
    <row r="20" spans="1:11" x14ac:dyDescent="0.25">
      <c r="A20" t="s">
        <v>34</v>
      </c>
      <c r="B20">
        <v>0.19878317772360957</v>
      </c>
    </row>
    <row r="21" spans="1:11" x14ac:dyDescent="0.25">
      <c r="A21" t="s">
        <v>35</v>
      </c>
      <c r="B21">
        <v>6.7769372791833551E-2</v>
      </c>
    </row>
    <row r="22" spans="1:11" ht="15.75" thickBot="1" x14ac:dyDescent="0.3">
      <c r="A22" s="3" t="s">
        <v>36</v>
      </c>
      <c r="B22" s="3">
        <v>11</v>
      </c>
    </row>
    <row r="24" spans="1:11" ht="15.75" thickBot="1" x14ac:dyDescent="0.3">
      <c r="A24" t="s">
        <v>37</v>
      </c>
      <c r="J24" s="6" t="s">
        <v>64</v>
      </c>
      <c r="K24" s="6">
        <f>AVERAGE(H2:H13)</f>
        <v>6.8737500000000011</v>
      </c>
    </row>
    <row r="25" spans="1:11" x14ac:dyDescent="0.25">
      <c r="A25" s="4"/>
      <c r="B25" s="4" t="s">
        <v>42</v>
      </c>
      <c r="C25" s="4" t="s">
        <v>43</v>
      </c>
      <c r="D25" s="4" t="s">
        <v>44</v>
      </c>
      <c r="E25" s="4" t="s">
        <v>45</v>
      </c>
      <c r="F25" s="4" t="s">
        <v>46</v>
      </c>
      <c r="J25" s="6" t="s">
        <v>58</v>
      </c>
      <c r="K25" s="6">
        <f>B32</f>
        <v>-0.65211343780233355</v>
      </c>
    </row>
    <row r="26" spans="1:11" x14ac:dyDescent="0.25">
      <c r="A26" t="s">
        <v>38</v>
      </c>
      <c r="B26">
        <v>1</v>
      </c>
      <c r="C26">
        <v>1.5987220147600588E-2</v>
      </c>
      <c r="D26">
        <v>1.5987220147600588E-2</v>
      </c>
      <c r="E26">
        <v>3.4810160270828239</v>
      </c>
      <c r="F26">
        <v>9.4939908116607102E-2</v>
      </c>
      <c r="J26" s="6" t="s">
        <v>57</v>
      </c>
      <c r="K26" s="6">
        <f>(1+AVERAGE(E2:E12))^(12)-1</f>
        <v>7.646942212530039E-2</v>
      </c>
    </row>
    <row r="27" spans="1:11" x14ac:dyDescent="0.25">
      <c r="A27" t="s">
        <v>39</v>
      </c>
      <c r="B27">
        <v>9</v>
      </c>
      <c r="C27">
        <v>4.133419099738659E-2</v>
      </c>
      <c r="D27">
        <v>4.5926878885985097E-3</v>
      </c>
      <c r="J27" s="6" t="s">
        <v>67</v>
      </c>
      <c r="K27" s="6">
        <f>K24+K25*(K26-K24)</f>
        <v>11.306348005344905</v>
      </c>
    </row>
    <row r="28" spans="1:11" ht="15.75" thickBot="1" x14ac:dyDescent="0.3">
      <c r="A28" s="3" t="s">
        <v>40</v>
      </c>
      <c r="B28" s="3">
        <v>10</v>
      </c>
      <c r="C28" s="3">
        <v>5.7321411144987178E-2</v>
      </c>
      <c r="D28" s="3"/>
      <c r="E28" s="3"/>
      <c r="F28" s="3"/>
    </row>
    <row r="29" spans="1:11" ht="15.75" thickBot="1" x14ac:dyDescent="0.3"/>
    <row r="30" spans="1:11" x14ac:dyDescent="0.25">
      <c r="A30" s="4"/>
      <c r="B30" s="4" t="s">
        <v>47</v>
      </c>
      <c r="C30" s="4" t="s">
        <v>35</v>
      </c>
      <c r="D30" s="4" t="s">
        <v>48</v>
      </c>
      <c r="E30" s="4" t="s">
        <v>49</v>
      </c>
      <c r="F30" s="4" t="s">
        <v>50</v>
      </c>
      <c r="G30" s="4" t="s">
        <v>51</v>
      </c>
      <c r="H30" s="4" t="s">
        <v>52</v>
      </c>
      <c r="I30" s="4" t="s">
        <v>53</v>
      </c>
    </row>
    <row r="31" spans="1:11" x14ac:dyDescent="0.25">
      <c r="A31" t="s">
        <v>41</v>
      </c>
      <c r="B31">
        <v>-8.2816398862962694E-3</v>
      </c>
      <c r="C31">
        <v>2.054633299258871E-2</v>
      </c>
      <c r="D31">
        <v>-0.40307143319849575</v>
      </c>
      <c r="E31">
        <v>0.69630294377751345</v>
      </c>
      <c r="F31">
        <v>-5.4760674234717907E-2</v>
      </c>
      <c r="G31">
        <v>3.8197394462125361E-2</v>
      </c>
      <c r="H31">
        <v>-5.4760674234717907E-2</v>
      </c>
      <c r="I31">
        <v>3.8197394462125361E-2</v>
      </c>
    </row>
    <row r="32" spans="1:11" ht="15.75" thickBot="1" x14ac:dyDescent="0.3">
      <c r="A32" s="3" t="s">
        <v>54</v>
      </c>
      <c r="B32" s="3">
        <v>-0.65211343780233355</v>
      </c>
      <c r="C32" s="3">
        <v>0.34951847610302067</v>
      </c>
      <c r="D32" s="3">
        <v>-1.8657481145864316</v>
      </c>
      <c r="E32" s="3">
        <v>9.4939908116607116E-2</v>
      </c>
      <c r="F32" s="3">
        <v>-1.4427791620490953</v>
      </c>
      <c r="G32" s="3">
        <v>0.13855228644442807</v>
      </c>
      <c r="H32" s="3">
        <v>-1.4427791620490953</v>
      </c>
      <c r="I32" s="3">
        <v>0.13855228644442807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3B5C-47F9-4BBC-B21D-113AC1D149E7}">
  <dimension ref="A1:K32"/>
  <sheetViews>
    <sheetView topLeftCell="A16" workbookViewId="0">
      <selection activeCell="J24" sqref="J24:K27"/>
    </sheetView>
  </sheetViews>
  <sheetFormatPr defaultRowHeight="15" x14ac:dyDescent="0.25"/>
  <cols>
    <col min="1" max="1" width="12" customWidth="1"/>
  </cols>
  <sheetData>
    <row r="1" spans="1:8" x14ac:dyDescent="0.25">
      <c r="A1" t="s">
        <v>2</v>
      </c>
      <c r="B1" t="s">
        <v>0</v>
      </c>
      <c r="C1" t="s">
        <v>3</v>
      </c>
      <c r="D1" t="s">
        <v>28</v>
      </c>
      <c r="E1" t="s">
        <v>63</v>
      </c>
      <c r="H1" t="s">
        <v>66</v>
      </c>
    </row>
    <row r="2" spans="1:8" x14ac:dyDescent="0.25">
      <c r="A2" s="2">
        <v>45352</v>
      </c>
      <c r="B2">
        <v>5921</v>
      </c>
      <c r="C2">
        <f>B2/B3-1</f>
        <v>-7.7294685990338174E-2</v>
      </c>
      <c r="D2">
        <v>76100.17</v>
      </c>
      <c r="E2">
        <f>D2/D3-1</f>
        <v>-2.101657874488938E-2</v>
      </c>
      <c r="H2">
        <v>7.5750000000000002</v>
      </c>
    </row>
    <row r="3" spans="1:8" x14ac:dyDescent="0.25">
      <c r="A3" s="2">
        <v>45323</v>
      </c>
      <c r="B3">
        <v>6417</v>
      </c>
      <c r="C3">
        <f>B3/B4-1</f>
        <v>-7.496035750324348E-2</v>
      </c>
      <c r="D3">
        <v>77733.87</v>
      </c>
      <c r="E3">
        <f t="shared" ref="E3:E12" si="0">D3/D4-1</f>
        <v>-2.1927586232929119E-2</v>
      </c>
      <c r="H3">
        <v>7.5750000000000002</v>
      </c>
    </row>
    <row r="4" spans="1:8" x14ac:dyDescent="0.25">
      <c r="A4" s="2">
        <v>45292</v>
      </c>
      <c r="B4">
        <v>6937</v>
      </c>
      <c r="C4">
        <f>(B4/B5)-1</f>
        <v>-3.9196675900276978E-2</v>
      </c>
      <c r="D4">
        <v>79476.600000000006</v>
      </c>
      <c r="E4">
        <f t="shared" si="0"/>
        <v>8.7996657566328684E-2</v>
      </c>
      <c r="H4">
        <v>7.55</v>
      </c>
    </row>
    <row r="5" spans="1:8" x14ac:dyDescent="0.25">
      <c r="A5" s="2">
        <v>45261</v>
      </c>
      <c r="B5">
        <v>7220</v>
      </c>
      <c r="C5">
        <f t="shared" ref="C5:C12" si="1">B5/B6-1</f>
        <v>6.9629629629629708E-2</v>
      </c>
      <c r="D5">
        <v>73048.570000000007</v>
      </c>
      <c r="E5">
        <f t="shared" si="0"/>
        <v>-2.378026941786493E-2</v>
      </c>
      <c r="H5">
        <v>7.4</v>
      </c>
    </row>
    <row r="6" spans="1:8" x14ac:dyDescent="0.25">
      <c r="A6" s="2">
        <v>45231</v>
      </c>
      <c r="B6">
        <v>6750</v>
      </c>
      <c r="C6">
        <f t="shared" si="1"/>
        <v>-2.7237354085603127E-2</v>
      </c>
      <c r="D6">
        <v>74828</v>
      </c>
      <c r="E6">
        <f t="shared" si="0"/>
        <v>0.12233610537612316</v>
      </c>
      <c r="H6">
        <v>7.2750000000000004</v>
      </c>
    </row>
    <row r="7" spans="1:8" x14ac:dyDescent="0.25">
      <c r="A7" s="2">
        <v>45200</v>
      </c>
      <c r="B7">
        <v>6939</v>
      </c>
      <c r="C7">
        <f t="shared" si="1"/>
        <v>2.2998673153471927E-2</v>
      </c>
      <c r="D7">
        <v>66671.649999999994</v>
      </c>
      <c r="E7">
        <f t="shared" si="0"/>
        <v>4.6217601912677431E-2</v>
      </c>
      <c r="H7">
        <v>7.2</v>
      </c>
    </row>
    <row r="8" spans="1:8" x14ac:dyDescent="0.25">
      <c r="A8" s="2">
        <v>45170</v>
      </c>
      <c r="B8">
        <v>6783</v>
      </c>
      <c r="C8">
        <f t="shared" si="1"/>
        <v>-8.5602588298732796E-2</v>
      </c>
      <c r="D8">
        <v>63726.37</v>
      </c>
      <c r="E8">
        <f t="shared" si="0"/>
        <v>-5.2496582518971158E-2</v>
      </c>
      <c r="H8">
        <v>7.22</v>
      </c>
    </row>
    <row r="9" spans="1:8" x14ac:dyDescent="0.25">
      <c r="A9" s="2">
        <v>45139</v>
      </c>
      <c r="B9">
        <v>7418</v>
      </c>
      <c r="C9">
        <f t="shared" si="1"/>
        <v>-7.2749999999999981E-2</v>
      </c>
      <c r="D9">
        <v>67257.14</v>
      </c>
      <c r="E9">
        <f t="shared" si="0"/>
        <v>-2.4325728330616414E-2</v>
      </c>
      <c r="H9">
        <v>6.88</v>
      </c>
    </row>
    <row r="10" spans="1:8" x14ac:dyDescent="0.25">
      <c r="A10" s="2">
        <v>45108</v>
      </c>
      <c r="B10">
        <v>8000</v>
      </c>
      <c r="C10">
        <f t="shared" si="1"/>
        <v>0.12123335669236157</v>
      </c>
      <c r="D10">
        <v>68934.009999999995</v>
      </c>
      <c r="E10">
        <f t="shared" si="0"/>
        <v>4.0932716893794518E-2</v>
      </c>
      <c r="H10">
        <v>6.84</v>
      </c>
    </row>
    <row r="11" spans="1:8" x14ac:dyDescent="0.25">
      <c r="A11" s="2">
        <v>45078</v>
      </c>
      <c r="B11">
        <v>7135</v>
      </c>
      <c r="C11">
        <f t="shared" si="1"/>
        <v>0.19915966386554618</v>
      </c>
      <c r="D11">
        <v>66223.31</v>
      </c>
      <c r="E11">
        <f t="shared" si="0"/>
        <v>-8.1442133122647919E-2</v>
      </c>
      <c r="H11">
        <v>5.9</v>
      </c>
    </row>
    <row r="12" spans="1:8" x14ac:dyDescent="0.25">
      <c r="A12" s="2">
        <v>45047</v>
      </c>
      <c r="B12">
        <v>5950</v>
      </c>
      <c r="C12">
        <f t="shared" si="1"/>
        <v>-8.5318985395849367E-2</v>
      </c>
      <c r="D12">
        <v>72094.87</v>
      </c>
      <c r="E12">
        <f t="shared" si="0"/>
        <v>-4.7403133013291798E-3</v>
      </c>
      <c r="H12">
        <v>5.57</v>
      </c>
    </row>
    <row r="13" spans="1:8" x14ac:dyDescent="0.25">
      <c r="A13" s="2">
        <v>45017</v>
      </c>
      <c r="B13">
        <v>6505</v>
      </c>
      <c r="D13">
        <v>72438.25</v>
      </c>
      <c r="H13">
        <v>5.5</v>
      </c>
    </row>
    <row r="15" spans="1:8" x14ac:dyDescent="0.25">
      <c r="A15" t="s">
        <v>30</v>
      </c>
    </row>
    <row r="16" spans="1:8" ht="15.75" thickBot="1" x14ac:dyDescent="0.3"/>
    <row r="17" spans="1:11" x14ac:dyDescent="0.25">
      <c r="A17" s="5" t="s">
        <v>31</v>
      </c>
      <c r="B17" s="5"/>
    </row>
    <row r="18" spans="1:11" x14ac:dyDescent="0.25">
      <c r="A18" t="s">
        <v>32</v>
      </c>
      <c r="B18">
        <v>0.14169983407288425</v>
      </c>
    </row>
    <row r="19" spans="1:11" x14ac:dyDescent="0.25">
      <c r="A19" t="s">
        <v>33</v>
      </c>
      <c r="B19">
        <v>2.0078842976282929E-2</v>
      </c>
    </row>
    <row r="20" spans="1:11" x14ac:dyDescent="0.25">
      <c r="A20" t="s">
        <v>34</v>
      </c>
      <c r="B20">
        <v>-8.8801285581907863E-2</v>
      </c>
    </row>
    <row r="21" spans="1:11" x14ac:dyDescent="0.25">
      <c r="A21" t="s">
        <v>35</v>
      </c>
      <c r="B21">
        <v>0.10078378560333384</v>
      </c>
    </row>
    <row r="22" spans="1:11" ht="15.75" thickBot="1" x14ac:dyDescent="0.3">
      <c r="A22" s="3" t="s">
        <v>36</v>
      </c>
      <c r="B22" s="3">
        <v>11</v>
      </c>
    </row>
    <row r="24" spans="1:11" ht="15.75" thickBot="1" x14ac:dyDescent="0.3">
      <c r="A24" t="s">
        <v>37</v>
      </c>
      <c r="J24" s="6" t="s">
        <v>64</v>
      </c>
      <c r="K24" s="6">
        <f>AVERAGE(H2:H13)</f>
        <v>6.8737500000000011</v>
      </c>
    </row>
    <row r="25" spans="1:11" x14ac:dyDescent="0.25">
      <c r="A25" s="4"/>
      <c r="B25" s="4" t="s">
        <v>42</v>
      </c>
      <c r="C25" s="4" t="s">
        <v>43</v>
      </c>
      <c r="D25" s="4" t="s">
        <v>44</v>
      </c>
      <c r="E25" s="4" t="s">
        <v>45</v>
      </c>
      <c r="F25" s="4" t="s">
        <v>46</v>
      </c>
      <c r="J25" s="6" t="s">
        <v>58</v>
      </c>
      <c r="K25" s="6">
        <f>B32</f>
        <v>-0.22321448219575463</v>
      </c>
    </row>
    <row r="26" spans="1:11" x14ac:dyDescent="0.25">
      <c r="A26" t="s">
        <v>38</v>
      </c>
      <c r="B26">
        <v>1</v>
      </c>
      <c r="C26">
        <v>1.873144979778002E-3</v>
      </c>
      <c r="D26">
        <v>1.873144979778002E-3</v>
      </c>
      <c r="E26">
        <v>0.18441237388466003</v>
      </c>
      <c r="F26">
        <v>0.67770573362165853</v>
      </c>
      <c r="J26" s="6" t="s">
        <v>57</v>
      </c>
      <c r="K26" s="6">
        <f>(1+AVERAGE(E2:E12))^(12)-1</f>
        <v>7.646942212530039E-2</v>
      </c>
    </row>
    <row r="27" spans="1:11" x14ac:dyDescent="0.25">
      <c r="A27" t="s">
        <v>39</v>
      </c>
      <c r="B27">
        <v>9</v>
      </c>
      <c r="C27">
        <v>9.1416342964848851E-2</v>
      </c>
      <c r="D27">
        <v>1.0157371440538762E-2</v>
      </c>
      <c r="J27" s="6" t="s">
        <v>67</v>
      </c>
      <c r="K27" s="6">
        <f>K24+K25*(K26-K24)</f>
        <v>8.3910014645295625</v>
      </c>
    </row>
    <row r="28" spans="1:11" ht="15.75" thickBot="1" x14ac:dyDescent="0.3">
      <c r="A28" s="3" t="s">
        <v>40</v>
      </c>
      <c r="B28" s="3">
        <v>10</v>
      </c>
      <c r="C28" s="3">
        <v>9.3289487944626853E-2</v>
      </c>
      <c r="D28" s="3"/>
      <c r="E28" s="3"/>
      <c r="F28" s="3"/>
    </row>
    <row r="29" spans="1:11" ht="15.75" thickBot="1" x14ac:dyDescent="0.3"/>
    <row r="30" spans="1:11" x14ac:dyDescent="0.25">
      <c r="A30" s="4"/>
      <c r="B30" s="4" t="s">
        <v>47</v>
      </c>
      <c r="C30" s="4" t="s">
        <v>35</v>
      </c>
      <c r="D30" s="4" t="s">
        <v>48</v>
      </c>
      <c r="E30" s="4" t="s">
        <v>49</v>
      </c>
      <c r="F30" s="4" t="s">
        <v>50</v>
      </c>
      <c r="G30" s="4" t="s">
        <v>51</v>
      </c>
      <c r="H30" s="4" t="s">
        <v>52</v>
      </c>
      <c r="I30" s="4" t="s">
        <v>53</v>
      </c>
    </row>
    <row r="31" spans="1:11" x14ac:dyDescent="0.25">
      <c r="A31" t="s">
        <v>41</v>
      </c>
      <c r="B31">
        <v>-3.1105158492865125E-3</v>
      </c>
      <c r="C31">
        <v>3.0555649756718664E-2</v>
      </c>
      <c r="D31">
        <v>-0.10179838668305731</v>
      </c>
      <c r="E31">
        <v>0.9211486416301472</v>
      </c>
      <c r="F31">
        <v>-7.2232197810400883E-2</v>
      </c>
      <c r="G31">
        <v>6.6011166111827863E-2</v>
      </c>
      <c r="H31">
        <v>-7.2232197810400883E-2</v>
      </c>
      <c r="I31">
        <v>6.6011166111827863E-2</v>
      </c>
    </row>
    <row r="32" spans="1:11" ht="15.75" thickBot="1" x14ac:dyDescent="0.3">
      <c r="A32" s="3" t="s">
        <v>54</v>
      </c>
      <c r="B32" s="3">
        <v>-0.22321448219575463</v>
      </c>
      <c r="C32" s="3">
        <v>0.51978930464907047</v>
      </c>
      <c r="D32" s="3">
        <v>-0.42943261856158277</v>
      </c>
      <c r="E32" s="3">
        <v>0.67770573362166042</v>
      </c>
      <c r="F32" s="3">
        <v>-1.399059580853548</v>
      </c>
      <c r="G32" s="3">
        <v>0.95263061646203862</v>
      </c>
      <c r="H32" s="3">
        <v>-1.399059580853548</v>
      </c>
      <c r="I32" s="3">
        <v>0.95263061646203862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B83AF-5850-4AEB-BE10-F0525B4EB380}">
  <dimension ref="A1:K32"/>
  <sheetViews>
    <sheetView topLeftCell="A16" workbookViewId="0">
      <selection activeCell="K25" sqref="K25"/>
    </sheetView>
  </sheetViews>
  <sheetFormatPr defaultRowHeight="15" x14ac:dyDescent="0.25"/>
  <cols>
    <col min="1" max="1" width="11" customWidth="1"/>
  </cols>
  <sheetData>
    <row r="1" spans="1:8" x14ac:dyDescent="0.25">
      <c r="A1" t="s">
        <v>2</v>
      </c>
      <c r="B1" t="s">
        <v>0</v>
      </c>
      <c r="C1" t="s">
        <v>3</v>
      </c>
      <c r="D1" t="s">
        <v>28</v>
      </c>
      <c r="E1" t="s">
        <v>63</v>
      </c>
      <c r="H1" t="s">
        <v>66</v>
      </c>
    </row>
    <row r="2" spans="1:8" x14ac:dyDescent="0.25">
      <c r="A2" s="2">
        <v>44986</v>
      </c>
      <c r="B2">
        <v>6393</v>
      </c>
      <c r="C2">
        <f>B2/B3-1</f>
        <v>-0.16974025974025975</v>
      </c>
      <c r="D2">
        <v>76100.17</v>
      </c>
      <c r="E2">
        <f>D2/D3-1</f>
        <v>-2.101657874488938E-2</v>
      </c>
      <c r="H2">
        <v>7.5750000000000002</v>
      </c>
    </row>
    <row r="3" spans="1:8" x14ac:dyDescent="0.25">
      <c r="A3" s="2">
        <v>44958</v>
      </c>
      <c r="B3">
        <v>7700</v>
      </c>
      <c r="C3">
        <f>B3/B4-1</f>
        <v>2.1084736772311263E-2</v>
      </c>
      <c r="D3">
        <v>77733.87</v>
      </c>
      <c r="E3">
        <f t="shared" ref="E3:E12" si="0">D3/D4-1</f>
        <v>-2.1927586232929119E-2</v>
      </c>
      <c r="H3">
        <v>7.5750000000000002</v>
      </c>
    </row>
    <row r="4" spans="1:8" x14ac:dyDescent="0.25">
      <c r="A4" s="2">
        <v>44927</v>
      </c>
      <c r="B4">
        <v>7541</v>
      </c>
      <c r="C4">
        <f>(B4/B5)-1</f>
        <v>0.13517988860454611</v>
      </c>
      <c r="D4">
        <v>79476.600000000006</v>
      </c>
      <c r="E4">
        <f t="shared" si="0"/>
        <v>8.7996657566328684E-2</v>
      </c>
      <c r="H4">
        <v>7.55</v>
      </c>
    </row>
    <row r="5" spans="1:8" x14ac:dyDescent="0.25">
      <c r="A5" s="2">
        <v>44896</v>
      </c>
      <c r="B5">
        <v>6643</v>
      </c>
      <c r="C5">
        <f t="shared" ref="C5:C12" si="1">B5/B6-1</f>
        <v>3.7775763070413415E-3</v>
      </c>
      <c r="D5">
        <v>73048.570000000007</v>
      </c>
      <c r="E5">
        <f t="shared" si="0"/>
        <v>-2.378026941786493E-2</v>
      </c>
      <c r="H5">
        <v>7.4</v>
      </c>
    </row>
    <row r="6" spans="1:8" x14ac:dyDescent="0.25">
      <c r="A6" s="2">
        <v>44866</v>
      </c>
      <c r="B6">
        <v>6618</v>
      </c>
      <c r="C6">
        <f t="shared" si="1"/>
        <v>4.8977650974797893E-2</v>
      </c>
      <c r="D6">
        <v>74828</v>
      </c>
      <c r="E6">
        <f t="shared" si="0"/>
        <v>0.12233610537612316</v>
      </c>
      <c r="H6">
        <v>7.2750000000000004</v>
      </c>
    </row>
    <row r="7" spans="1:8" x14ac:dyDescent="0.25">
      <c r="A7" s="2">
        <v>44835</v>
      </c>
      <c r="B7">
        <v>6309</v>
      </c>
      <c r="C7">
        <f t="shared" si="1"/>
        <v>3.3076797118061219E-2</v>
      </c>
      <c r="D7">
        <v>66671.649999999994</v>
      </c>
      <c r="E7">
        <f t="shared" si="0"/>
        <v>4.6217601912677431E-2</v>
      </c>
      <c r="H7">
        <v>7.2</v>
      </c>
    </row>
    <row r="8" spans="1:8" x14ac:dyDescent="0.25">
      <c r="A8" s="2">
        <v>44805</v>
      </c>
      <c r="B8">
        <v>6107</v>
      </c>
      <c r="C8">
        <f t="shared" si="1"/>
        <v>9.0535714285714386E-2</v>
      </c>
      <c r="D8">
        <v>63726.37</v>
      </c>
      <c r="E8">
        <f t="shared" si="0"/>
        <v>-5.2496582518971158E-2</v>
      </c>
      <c r="H8">
        <v>7.22</v>
      </c>
    </row>
    <row r="9" spans="1:8" x14ac:dyDescent="0.25">
      <c r="A9" s="2">
        <v>44774</v>
      </c>
      <c r="B9">
        <v>5600</v>
      </c>
      <c r="C9">
        <f t="shared" si="1"/>
        <v>5.9201815774541311E-2</v>
      </c>
      <c r="D9">
        <v>67257.14</v>
      </c>
      <c r="E9">
        <f t="shared" si="0"/>
        <v>-2.4325728330616414E-2</v>
      </c>
      <c r="H9">
        <v>6.88</v>
      </c>
    </row>
    <row r="10" spans="1:8" x14ac:dyDescent="0.25">
      <c r="A10" s="2">
        <v>44743</v>
      </c>
      <c r="B10">
        <v>5287</v>
      </c>
      <c r="C10">
        <f t="shared" si="1"/>
        <v>-2.5437788018433216E-2</v>
      </c>
      <c r="D10">
        <v>68934.009999999995</v>
      </c>
      <c r="E10">
        <f t="shared" si="0"/>
        <v>4.0932716893794518E-2</v>
      </c>
      <c r="H10">
        <v>6.84</v>
      </c>
    </row>
    <row r="11" spans="1:8" x14ac:dyDescent="0.25">
      <c r="A11" s="2">
        <v>44713</v>
      </c>
      <c r="B11">
        <v>5425</v>
      </c>
      <c r="C11">
        <f t="shared" si="1"/>
        <v>-2.5507454643434513E-2</v>
      </c>
      <c r="D11">
        <v>66223.31</v>
      </c>
      <c r="E11">
        <f t="shared" si="0"/>
        <v>-8.1442133122647919E-2</v>
      </c>
      <c r="H11">
        <v>5.9</v>
      </c>
    </row>
    <row r="12" spans="1:8" x14ac:dyDescent="0.25">
      <c r="A12" s="2">
        <v>44682</v>
      </c>
      <c r="B12">
        <v>5567</v>
      </c>
      <c r="C12">
        <f t="shared" si="1"/>
        <v>-6.3110063951531514E-2</v>
      </c>
      <c r="D12">
        <v>72094.87</v>
      </c>
      <c r="E12">
        <f t="shared" si="0"/>
        <v>-4.7403133013291798E-3</v>
      </c>
      <c r="H12">
        <v>5.57</v>
      </c>
    </row>
    <row r="13" spans="1:8" x14ac:dyDescent="0.25">
      <c r="A13" s="2">
        <v>44652</v>
      </c>
      <c r="B13">
        <v>5942</v>
      </c>
      <c r="D13">
        <v>72438.25</v>
      </c>
      <c r="H13">
        <v>5.5</v>
      </c>
    </row>
    <row r="15" spans="1:8" x14ac:dyDescent="0.25">
      <c r="A15" t="s">
        <v>30</v>
      </c>
    </row>
    <row r="16" spans="1:8" ht="15.75" thickBot="1" x14ac:dyDescent="0.3"/>
    <row r="17" spans="1:11" x14ac:dyDescent="0.25">
      <c r="A17" s="5" t="s">
        <v>31</v>
      </c>
      <c r="B17" s="5"/>
    </row>
    <row r="18" spans="1:11" x14ac:dyDescent="0.25">
      <c r="A18" t="s">
        <v>32</v>
      </c>
      <c r="B18">
        <v>0.33699674765443893</v>
      </c>
    </row>
    <row r="19" spans="1:11" x14ac:dyDescent="0.25">
      <c r="A19" t="s">
        <v>33</v>
      </c>
      <c r="B19">
        <v>0.11356680792966958</v>
      </c>
    </row>
    <row r="20" spans="1:11" x14ac:dyDescent="0.25">
      <c r="A20" t="s">
        <v>34</v>
      </c>
      <c r="B20">
        <v>1.5074231032966198E-2</v>
      </c>
    </row>
    <row r="21" spans="1:11" x14ac:dyDescent="0.25">
      <c r="A21" t="s">
        <v>35</v>
      </c>
      <c r="B21">
        <v>8.1208852312234708E-2</v>
      </c>
    </row>
    <row r="22" spans="1:11" ht="15.75" thickBot="1" x14ac:dyDescent="0.3">
      <c r="A22" s="3" t="s">
        <v>36</v>
      </c>
      <c r="B22" s="3">
        <v>11</v>
      </c>
    </row>
    <row r="24" spans="1:11" ht="15.75" thickBot="1" x14ac:dyDescent="0.3">
      <c r="A24" t="s">
        <v>37</v>
      </c>
      <c r="J24" s="6" t="s">
        <v>64</v>
      </c>
      <c r="K24" s="6">
        <f>AVERAGE(H2:H13)</f>
        <v>6.8737500000000011</v>
      </c>
    </row>
    <row r="25" spans="1:11" x14ac:dyDescent="0.25">
      <c r="A25" s="4"/>
      <c r="B25" s="4" t="s">
        <v>42</v>
      </c>
      <c r="C25" s="4" t="s">
        <v>43</v>
      </c>
      <c r="D25" s="4" t="s">
        <v>44</v>
      </c>
      <c r="E25" s="4" t="s">
        <v>45</v>
      </c>
      <c r="F25" s="4" t="s">
        <v>46</v>
      </c>
      <c r="J25" s="6" t="s">
        <v>58</v>
      </c>
      <c r="K25" s="6">
        <f>B32</f>
        <v>0.44974257717370802</v>
      </c>
    </row>
    <row r="26" spans="1:11" x14ac:dyDescent="0.25">
      <c r="A26" t="s">
        <v>38</v>
      </c>
      <c r="B26">
        <v>1</v>
      </c>
      <c r="C26">
        <v>7.6042198506485054E-3</v>
      </c>
      <c r="D26">
        <v>7.6042198506485054E-3</v>
      </c>
      <c r="E26">
        <v>1.1530494125336541</v>
      </c>
      <c r="F26">
        <v>0.31085686338148943</v>
      </c>
      <c r="J26" s="6" t="s">
        <v>57</v>
      </c>
      <c r="K26" s="6">
        <f>(1+AVERAGE(E2:E12))^(12)-1</f>
        <v>7.646942212530039E-2</v>
      </c>
    </row>
    <row r="27" spans="1:11" x14ac:dyDescent="0.25">
      <c r="A27" t="s">
        <v>39</v>
      </c>
      <c r="B27">
        <v>9</v>
      </c>
      <c r="C27">
        <v>5.9353899244833142E-2</v>
      </c>
      <c r="D27">
        <v>6.5948776938703491E-3</v>
      </c>
      <c r="J27" s="6" t="s">
        <v>67</v>
      </c>
      <c r="K27" s="6">
        <f>K24+K25*(K26-K24)</f>
        <v>3.8167235151338419</v>
      </c>
    </row>
    <row r="28" spans="1:11" ht="15.75" thickBot="1" x14ac:dyDescent="0.3">
      <c r="A28" s="3" t="s">
        <v>40</v>
      </c>
      <c r="B28" s="3">
        <v>10</v>
      </c>
      <c r="C28" s="3">
        <v>6.6958119095481647E-2</v>
      </c>
      <c r="D28" s="3"/>
      <c r="E28" s="3"/>
      <c r="F28" s="3"/>
    </row>
    <row r="29" spans="1:11" ht="15.75" thickBot="1" x14ac:dyDescent="0.3"/>
    <row r="30" spans="1:11" x14ac:dyDescent="0.25">
      <c r="A30" s="4"/>
      <c r="B30" s="4" t="s">
        <v>47</v>
      </c>
      <c r="C30" s="4" t="s">
        <v>35</v>
      </c>
      <c r="D30" s="4" t="s">
        <v>48</v>
      </c>
      <c r="E30" s="4" t="s">
        <v>49</v>
      </c>
      <c r="F30" s="4" t="s">
        <v>50</v>
      </c>
      <c r="G30" s="4" t="s">
        <v>51</v>
      </c>
      <c r="H30" s="4" t="s">
        <v>52</v>
      </c>
      <c r="I30" s="4" t="s">
        <v>53</v>
      </c>
    </row>
    <row r="31" spans="1:11" x14ac:dyDescent="0.25">
      <c r="A31" t="s">
        <v>41</v>
      </c>
      <c r="B31">
        <v>7.0515276677615511E-3</v>
      </c>
      <c r="C31">
        <v>2.4620917278936325E-2</v>
      </c>
      <c r="D31">
        <v>0.28640393807724907</v>
      </c>
      <c r="E31">
        <v>0.78105231053467628</v>
      </c>
      <c r="F31">
        <v>-4.8644856709446356E-2</v>
      </c>
      <c r="G31">
        <v>6.2747912044969462E-2</v>
      </c>
      <c r="H31">
        <v>-4.8644856709446356E-2</v>
      </c>
      <c r="I31">
        <v>6.2747912044969462E-2</v>
      </c>
    </row>
    <row r="32" spans="1:11" ht="15.75" thickBot="1" x14ac:dyDescent="0.3">
      <c r="A32" s="3" t="s">
        <v>54</v>
      </c>
      <c r="B32" s="3">
        <v>0.44974257717370802</v>
      </c>
      <c r="C32" s="3">
        <v>0.41883218239947934</v>
      </c>
      <c r="D32" s="3">
        <v>1.073801384117963</v>
      </c>
      <c r="E32" s="3">
        <v>0.3108568633814896</v>
      </c>
      <c r="F32" s="3">
        <v>-0.49772164425167853</v>
      </c>
      <c r="G32" s="3">
        <v>1.3972067985990946</v>
      </c>
      <c r="H32" s="3">
        <v>-0.49772164425167853</v>
      </c>
      <c r="I32" s="3">
        <v>1.3972067985990946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F501-FCEF-4180-B292-6F1C507E0633}">
  <dimension ref="E2:H36"/>
  <sheetViews>
    <sheetView topLeftCell="A19" workbookViewId="0">
      <selection activeCell="H34" sqref="H34"/>
    </sheetView>
  </sheetViews>
  <sheetFormatPr defaultRowHeight="15" x14ac:dyDescent="0.25"/>
  <cols>
    <col min="6" max="6" width="9.85546875" bestFit="1" customWidth="1"/>
    <col min="7" max="8" width="10.85546875" bestFit="1" customWidth="1"/>
  </cols>
  <sheetData>
    <row r="2" spans="5:8" x14ac:dyDescent="0.25">
      <c r="F2">
        <v>2025</v>
      </c>
      <c r="G2">
        <v>2024</v>
      </c>
      <c r="H2">
        <v>2023</v>
      </c>
    </row>
    <row r="3" spans="5:8" x14ac:dyDescent="0.25">
      <c r="E3" t="s">
        <v>70</v>
      </c>
      <c r="F3">
        <v>9286</v>
      </c>
      <c r="G3" s="1">
        <v>6314</v>
      </c>
      <c r="H3">
        <v>5050</v>
      </c>
    </row>
    <row r="4" spans="5:8" x14ac:dyDescent="0.25">
      <c r="E4" t="s">
        <v>71</v>
      </c>
      <c r="F4">
        <v>568</v>
      </c>
      <c r="G4" s="1">
        <v>1192</v>
      </c>
      <c r="H4" s="1">
        <v>281</v>
      </c>
    </row>
    <row r="5" spans="5:8" x14ac:dyDescent="0.25">
      <c r="E5" t="s">
        <v>72</v>
      </c>
      <c r="F5">
        <v>0</v>
      </c>
      <c r="G5">
        <v>306</v>
      </c>
      <c r="H5" s="8">
        <v>713</v>
      </c>
    </row>
    <row r="6" spans="5:8" x14ac:dyDescent="0.25">
      <c r="E6" s="7" t="s">
        <v>73</v>
      </c>
      <c r="F6" s="7">
        <f t="shared" ref="F6:H6" si="0">SUM(F3:F5)</f>
        <v>9854</v>
      </c>
      <c r="G6" s="7">
        <f t="shared" si="0"/>
        <v>7812</v>
      </c>
      <c r="H6" s="7">
        <f t="shared" si="0"/>
        <v>6044</v>
      </c>
    </row>
    <row r="7" spans="5:8" x14ac:dyDescent="0.25">
      <c r="E7" t="s">
        <v>74</v>
      </c>
      <c r="F7" s="1">
        <v>7921</v>
      </c>
      <c r="G7" s="1">
        <v>8655</v>
      </c>
      <c r="H7" s="8">
        <v>9267</v>
      </c>
    </row>
    <row r="8" spans="5:8" x14ac:dyDescent="0.25">
      <c r="E8" t="s">
        <v>75</v>
      </c>
      <c r="F8" s="1">
        <v>1895</v>
      </c>
      <c r="G8" s="1">
        <v>1649</v>
      </c>
      <c r="H8" s="8">
        <v>1735</v>
      </c>
    </row>
    <row r="9" spans="5:8" x14ac:dyDescent="0.25">
      <c r="E9" s="7" t="s">
        <v>76</v>
      </c>
      <c r="F9" s="9">
        <f t="shared" ref="F9:H9" si="1">SUM(F7:F8)</f>
        <v>9816</v>
      </c>
      <c r="G9" s="9">
        <f t="shared" si="1"/>
        <v>10304</v>
      </c>
      <c r="H9" s="9">
        <f t="shared" si="1"/>
        <v>11002</v>
      </c>
    </row>
    <row r="10" spans="5:8" x14ac:dyDescent="0.25">
      <c r="E10" t="s">
        <v>77</v>
      </c>
      <c r="F10" s="1">
        <f t="shared" ref="F10:H10" si="2">F6+F9</f>
        <v>19670</v>
      </c>
      <c r="G10" s="1">
        <f t="shared" si="2"/>
        <v>18116</v>
      </c>
      <c r="H10" s="1">
        <f t="shared" si="2"/>
        <v>17046</v>
      </c>
    </row>
    <row r="11" spans="5:8" x14ac:dyDescent="0.25">
      <c r="F11">
        <v>2025</v>
      </c>
      <c r="G11">
        <v>2024</v>
      </c>
      <c r="H11">
        <v>2023</v>
      </c>
    </row>
    <row r="12" spans="5:8" x14ac:dyDescent="0.25">
      <c r="E12" t="s">
        <v>78</v>
      </c>
    </row>
    <row r="13" spans="5:8" x14ac:dyDescent="0.25">
      <c r="E13" t="s">
        <v>79</v>
      </c>
      <c r="F13">
        <v>854</v>
      </c>
      <c r="G13">
        <v>780</v>
      </c>
      <c r="H13">
        <v>623</v>
      </c>
    </row>
    <row r="14" spans="5:8" x14ac:dyDescent="0.25">
      <c r="E14" t="s">
        <v>80</v>
      </c>
      <c r="F14" s="1">
        <v>917</v>
      </c>
      <c r="G14" s="1">
        <v>944</v>
      </c>
      <c r="H14" s="8">
        <v>821</v>
      </c>
    </row>
    <row r="15" spans="5:8" x14ac:dyDescent="0.25">
      <c r="E15" s="7" t="s">
        <v>81</v>
      </c>
      <c r="F15" s="7">
        <f t="shared" ref="F15:H15" si="3">SUM(F13:F14)</f>
        <v>1771</v>
      </c>
      <c r="G15" s="7">
        <f t="shared" si="3"/>
        <v>1724</v>
      </c>
      <c r="H15" s="7">
        <f t="shared" si="3"/>
        <v>1444</v>
      </c>
    </row>
    <row r="17" spans="5:8" x14ac:dyDescent="0.25">
      <c r="E17" t="s">
        <v>82</v>
      </c>
      <c r="F17">
        <v>2025</v>
      </c>
      <c r="G17">
        <v>2024</v>
      </c>
      <c r="H17">
        <v>2023</v>
      </c>
    </row>
    <row r="18" spans="5:8" x14ac:dyDescent="0.25">
      <c r="E18" t="s">
        <v>83</v>
      </c>
      <c r="F18">
        <f>(F6+G6)/2</f>
        <v>8833</v>
      </c>
      <c r="G18">
        <f>(G6+H6)/2</f>
        <v>6928</v>
      </c>
      <c r="H18" t="e">
        <f>(H6+#REF!)/2</f>
        <v>#REF!</v>
      </c>
    </row>
    <row r="19" spans="5:8" x14ac:dyDescent="0.25">
      <c r="E19" t="s">
        <v>86</v>
      </c>
      <c r="F19">
        <f>F13/F18</f>
        <v>9.6682893694101671E-2</v>
      </c>
      <c r="G19">
        <f>G13/G18</f>
        <v>0.1125866050808314</v>
      </c>
      <c r="H19" t="e">
        <f>H13/H18</f>
        <v>#REF!</v>
      </c>
    </row>
    <row r="20" spans="5:8" x14ac:dyDescent="0.25">
      <c r="E20" t="s">
        <v>84</v>
      </c>
      <c r="F20">
        <f>(F9+G9)/2</f>
        <v>10060</v>
      </c>
      <c r="G20">
        <f>(G9+H9)/2</f>
        <v>10653</v>
      </c>
      <c r="H20" t="e">
        <f>(H9+#REF!)/2</f>
        <v>#REF!</v>
      </c>
    </row>
    <row r="21" spans="5:8" x14ac:dyDescent="0.25">
      <c r="E21" t="s">
        <v>87</v>
      </c>
      <c r="F21">
        <f>F14/F20</f>
        <v>9.1153081510934389E-2</v>
      </c>
      <c r="G21">
        <f>G14/G20</f>
        <v>8.8613536093119311E-2</v>
      </c>
      <c r="H21" t="e">
        <f>H14/H20</f>
        <v>#REF!</v>
      </c>
    </row>
    <row r="22" spans="5:8" x14ac:dyDescent="0.25">
      <c r="E22" t="s">
        <v>85</v>
      </c>
      <c r="F22">
        <f>(F10+G10)/2</f>
        <v>18893</v>
      </c>
      <c r="G22">
        <f>(G10+H10)/2</f>
        <v>17581</v>
      </c>
      <c r="H22" t="e">
        <f>(H10+#REF!)/2</f>
        <v>#REF!</v>
      </c>
    </row>
    <row r="23" spans="5:8" x14ac:dyDescent="0.25">
      <c r="E23" s="7" t="s">
        <v>88</v>
      </c>
      <c r="F23" s="7">
        <f>F18/F22</f>
        <v>0.46752765574551419</v>
      </c>
      <c r="G23" s="7">
        <f>G18/G22</f>
        <v>0.39406177123030545</v>
      </c>
      <c r="H23" s="7" t="e">
        <f>H18/H22</f>
        <v>#REF!</v>
      </c>
    </row>
    <row r="24" spans="5:8" x14ac:dyDescent="0.25">
      <c r="E24" s="7" t="s">
        <v>89</v>
      </c>
      <c r="F24" s="7">
        <f>F20/F22</f>
        <v>0.53247234425448575</v>
      </c>
      <c r="G24" s="7">
        <f>G20/G22</f>
        <v>0.60593822876969461</v>
      </c>
      <c r="H24" s="7" t="e">
        <f>H20/H22</f>
        <v>#REF!</v>
      </c>
    </row>
    <row r="26" spans="5:8" x14ac:dyDescent="0.25">
      <c r="E26" t="s">
        <v>90</v>
      </c>
      <c r="F26">
        <f>F23*F19+F24*F21</f>
        <v>9.3738421637643565E-2</v>
      </c>
      <c r="G26">
        <f>G23*G19+G24*G21</f>
        <v>9.8060406120243443E-2</v>
      </c>
      <c r="H26" t="e">
        <f>H23*H19+H24*H21</f>
        <v>#REF!</v>
      </c>
    </row>
    <row r="27" spans="5:8" x14ac:dyDescent="0.25">
      <c r="E27" t="s">
        <v>91</v>
      </c>
      <c r="F27">
        <v>0.1130635</v>
      </c>
      <c r="G27">
        <v>8.3910009999999993E-2</v>
      </c>
      <c r="H27">
        <v>3.8167239999999998E-2</v>
      </c>
    </row>
    <row r="28" spans="5:8" x14ac:dyDescent="0.25">
      <c r="E28" t="s">
        <v>92</v>
      </c>
      <c r="F28" s="1">
        <f>F10</f>
        <v>19670</v>
      </c>
      <c r="G28" s="1">
        <f>G10</f>
        <v>18116</v>
      </c>
      <c r="H28" s="1">
        <f>H10</f>
        <v>17046</v>
      </c>
    </row>
    <row r="29" spans="5:8" x14ac:dyDescent="0.25">
      <c r="E29" t="s">
        <v>93</v>
      </c>
      <c r="F29">
        <v>0.27</v>
      </c>
      <c r="G29">
        <v>0.27</v>
      </c>
      <c r="H29">
        <v>0.28000000000000003</v>
      </c>
    </row>
    <row r="30" spans="5:8" x14ac:dyDescent="0.25">
      <c r="H30" s="1"/>
    </row>
    <row r="32" spans="5:8" x14ac:dyDescent="0.25">
      <c r="E32" t="s">
        <v>111</v>
      </c>
      <c r="F32" s="1">
        <v>89906164</v>
      </c>
      <c r="G32" s="1">
        <v>897107551</v>
      </c>
      <c r="H32" s="1">
        <v>896019026</v>
      </c>
    </row>
    <row r="33" spans="5:8" x14ac:dyDescent="0.25">
      <c r="E33" t="s">
        <v>96</v>
      </c>
      <c r="F33">
        <v>51</v>
      </c>
      <c r="G33">
        <v>59.21</v>
      </c>
      <c r="H33">
        <v>63.93</v>
      </c>
    </row>
    <row r="34" spans="5:8" x14ac:dyDescent="0.25">
      <c r="E34" t="s">
        <v>97</v>
      </c>
      <c r="F34">
        <f>F32*F33</f>
        <v>4585214364</v>
      </c>
      <c r="G34">
        <f>G32*G33</f>
        <v>53117738094.709999</v>
      </c>
      <c r="H34">
        <f>H32*H33</f>
        <v>57282496332.18</v>
      </c>
    </row>
    <row r="36" spans="5:8" x14ac:dyDescent="0.25">
      <c r="E36" t="s">
        <v>98</v>
      </c>
      <c r="F36">
        <f>(F34/(F34+F28))*F27+(F28/(F28+F34))*F26*(1-F29)</f>
        <v>0.11306330852456639</v>
      </c>
      <c r="G36">
        <f>(G34/(G34+G28))*G27+(G28/(G28+G34))*G26*(1-G29)</f>
        <v>8.3910005796203266E-2</v>
      </c>
      <c r="H36" t="e">
        <f>(H34/(H34+H28))*H27+(H28/(H28+H34))*H26*(1-H29)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PIKJ Historical Data</vt:lpstr>
      <vt:lpstr>2025 PIKJ(Pick N Pay) </vt:lpstr>
      <vt:lpstr>2024 PIKJ</vt:lpstr>
      <vt:lpstr>2023 PIKJ </vt:lpstr>
      <vt:lpstr>W PnP</vt:lpstr>
      <vt:lpstr>2025 SHPJ(Shoprite)</vt:lpstr>
      <vt:lpstr>2024 SHPJ</vt:lpstr>
      <vt:lpstr>2023 SHPJ</vt:lpstr>
      <vt:lpstr>W SP</vt:lpstr>
      <vt:lpstr>Spar 2025 SPPJ</vt:lpstr>
      <vt:lpstr>2024 SPPJ</vt:lpstr>
      <vt:lpstr>2023 SPPJ</vt:lpstr>
      <vt:lpstr>W Spar</vt:lpstr>
      <vt:lpstr>Woolworths 2025 WHLJ</vt:lpstr>
      <vt:lpstr>2024 WHLJ</vt:lpstr>
      <vt:lpstr>2023 WHLJ</vt:lpstr>
      <vt:lpstr>W Woolworths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Siphosethu Limane</dc:creator>
  <cp:lastModifiedBy>Siphosethu Limane</cp:lastModifiedBy>
  <dcterms:created xsi:type="dcterms:W3CDTF">2026-07-23T02:53:36Z</dcterms:created>
  <dcterms:modified xsi:type="dcterms:W3CDTF">2026-08-30T09:14:43Z</dcterms:modified>
</cp:coreProperties>
</file>