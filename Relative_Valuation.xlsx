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tudentujac-my.sharepoint.com/personal/220068138_student_uj_ac_za/Documents/Documents/"/>
    </mc:Choice>
  </mc:AlternateContent>
  <xr:revisionPtr revIDLastSave="0" documentId="8_{FB5F6172-4B10-485F-9001-4CC74444EAB4}" xr6:coauthVersionLast="47" xr6:coauthVersionMax="47" xr10:uidLastSave="{00000000-0000-0000-0000-000000000000}"/>
  <bookViews>
    <workbookView xWindow="-110" yWindow="-110" windowWidth="19420" windowHeight="10420" activeTab="3" xr2:uid="{00000000-000D-0000-FFFF-FFFF00000000}"/>
  </bookViews>
  <sheets>
    <sheet name="Inputs" sheetId="2" r:id="rId1"/>
    <sheet name="EV_EBITDA" sheetId="3" r:id="rId2"/>
    <sheet name="PE_PS" sheetId="4" r:id="rId3"/>
    <sheet name="Source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4" l="1"/>
  <c r="D12" i="4"/>
  <c r="C12" i="4"/>
  <c r="B12" i="4"/>
  <c r="E7" i="4"/>
  <c r="D7" i="4"/>
  <c r="C7" i="4"/>
  <c r="B7" i="4"/>
  <c r="E4" i="4"/>
  <c r="E8" i="4" s="1"/>
  <c r="D4" i="4"/>
  <c r="C4" i="4"/>
  <c r="C8" i="4" s="1"/>
  <c r="B4" i="4"/>
  <c r="B12" i="3"/>
  <c r="E9" i="3"/>
  <c r="D9" i="3"/>
  <c r="C9" i="3"/>
  <c r="B9" i="3"/>
  <c r="E8" i="3"/>
  <c r="D8" i="3"/>
  <c r="C8" i="3"/>
  <c r="B8" i="3"/>
  <c r="E7" i="3"/>
  <c r="E10" i="3" s="1"/>
  <c r="E16" i="3" s="1"/>
  <c r="D7" i="3"/>
  <c r="D10" i="3" s="1"/>
  <c r="D16" i="3" s="1"/>
  <c r="C7" i="3"/>
  <c r="C10" i="3" s="1"/>
  <c r="C16" i="3" s="1"/>
  <c r="B7" i="3"/>
  <c r="B10" i="3" s="1"/>
  <c r="B16" i="3" s="1"/>
  <c r="E4" i="3"/>
  <c r="E19" i="3" s="1"/>
  <c r="D4" i="3"/>
  <c r="D19" i="3" s="1"/>
  <c r="C4" i="3"/>
  <c r="C19" i="3" s="1"/>
  <c r="B4" i="3"/>
  <c r="B19" i="3" s="1"/>
  <c r="I12" i="2"/>
  <c r="E12" i="3" s="1"/>
  <c r="E12" i="2"/>
  <c r="E5" i="4" s="1"/>
  <c r="I11" i="2"/>
  <c r="D12" i="3" s="1"/>
  <c r="E11" i="2"/>
  <c r="D5" i="4" s="1"/>
  <c r="I10" i="2"/>
  <c r="C12" i="3" s="1"/>
  <c r="E10" i="2"/>
  <c r="C5" i="4" s="1"/>
  <c r="E9" i="2"/>
  <c r="D5" i="3" l="1"/>
  <c r="D6" i="4"/>
  <c r="D13" i="4" s="1"/>
  <c r="D8" i="4"/>
  <c r="C9" i="4" s="1"/>
  <c r="C10" i="4" s="1"/>
  <c r="C19" i="4" s="1"/>
  <c r="C5" i="3"/>
  <c r="C6" i="3" s="1"/>
  <c r="C11" i="3" s="1"/>
  <c r="C13" i="3" s="1"/>
  <c r="B5" i="4"/>
  <c r="B6" i="4" s="1"/>
  <c r="B13" i="4" s="1"/>
  <c r="B5" i="3"/>
  <c r="B6" i="3" s="1"/>
  <c r="B11" i="3" s="1"/>
  <c r="B13" i="3" s="1"/>
  <c r="D9" i="4"/>
  <c r="D10" i="4" s="1"/>
  <c r="D19" i="4" s="1"/>
  <c r="E6" i="4"/>
  <c r="E13" i="4" s="1"/>
  <c r="C6" i="4"/>
  <c r="C13" i="4" s="1"/>
  <c r="D6" i="3"/>
  <c r="D11" i="3" s="1"/>
  <c r="D13" i="3" s="1"/>
  <c r="E5" i="3"/>
  <c r="E6" i="3" s="1"/>
  <c r="E11" i="3" s="1"/>
  <c r="E13" i="3" s="1"/>
  <c r="B14" i="4" l="1"/>
  <c r="B15" i="4" s="1"/>
  <c r="B16" i="4" s="1"/>
  <c r="B19" i="4" s="1"/>
  <c r="E9" i="4"/>
  <c r="E10" i="4" s="1"/>
  <c r="E19" i="4" s="1"/>
  <c r="E14" i="3"/>
  <c r="E15" i="3" s="1"/>
  <c r="E17" i="3" s="1"/>
  <c r="E18" i="3" s="1"/>
  <c r="D14" i="3"/>
  <c r="D15" i="3" s="1"/>
  <c r="D17" i="3" s="1"/>
  <c r="D18" i="3" s="1"/>
  <c r="C14" i="3"/>
  <c r="C15" i="3" s="1"/>
  <c r="C17" i="3" s="1"/>
  <c r="C18" i="3" s="1"/>
  <c r="B14" i="3"/>
  <c r="B15" i="3" s="1"/>
  <c r="B17" i="3" s="1"/>
  <c r="B18" i="3" s="1"/>
  <c r="B20" i="3" l="1"/>
  <c r="B21" i="3" s="1"/>
  <c r="C20" i="3"/>
  <c r="C21" i="3" s="1"/>
  <c r="D20" i="3"/>
  <c r="D21" i="3" s="1"/>
  <c r="E20" i="3"/>
  <c r="E21" i="3" s="1"/>
</calcChain>
</file>

<file path=xl/sharedStrings.xml><?xml version="1.0" encoding="utf-8"?>
<sst xmlns="http://schemas.openxmlformats.org/spreadsheetml/2006/main" count="121" uniqueCount="100">
  <si>
    <t>Company</t>
  </si>
  <si>
    <t>Current Price
(R/share)</t>
  </si>
  <si>
    <t>Pick n Pay</t>
  </si>
  <si>
    <t>Shoprite</t>
  </si>
  <si>
    <t>Woolworths</t>
  </si>
  <si>
    <t>SPAR</t>
  </si>
  <si>
    <t>Market price date</t>
  </si>
  <si>
    <t>FY2025 Financial Statement Inputs and Market Prices</t>
  </si>
  <si>
    <t>Issued Shares
(m)</t>
  </si>
  <si>
    <t>Treasury Shares
(m)</t>
  </si>
  <si>
    <t>Shares Outstanding
(m)</t>
  </si>
  <si>
    <t>Revenue
(Rm)</t>
  </si>
  <si>
    <t>EBIT / Operating Profit
(Rm)</t>
  </si>
  <si>
    <t>D&amp;A / EBITDA Add-backs
(Rm)</t>
  </si>
  <si>
    <t>EBITDA Used
(Rm)</t>
  </si>
  <si>
    <t>Borrowings &amp; Overdrafts
(Rm)</t>
  </si>
  <si>
    <t>Lease Liabilities
(Rm)</t>
  </si>
  <si>
    <t>Cash &amp; Equivalents
(Rm)</t>
  </si>
  <si>
    <t>EV/EBITDA Relative Valuation</t>
  </si>
  <si>
    <t>Metric</t>
  </si>
  <si>
    <t>Current share price (R/share)</t>
  </si>
  <si>
    <t>Shares outstanding (m)</t>
  </si>
  <si>
    <t>Market capitalisation (Rm)</t>
  </si>
  <si>
    <t>Borrowings &amp; overdrafts (Rm)</t>
  </si>
  <si>
    <t>Lease liabilities (Rm)</t>
  </si>
  <si>
    <t>Cash &amp; cash equivalents (Rm)</t>
  </si>
  <si>
    <t>Net debt (Rm)</t>
  </si>
  <si>
    <t>Enterprise value (Rm)</t>
  </si>
  <si>
    <t>EBITDA (Rm)</t>
  </si>
  <si>
    <t>EV/EBITDA</t>
  </si>
  <si>
    <t>Peer EV/EBITDA</t>
  </si>
  <si>
    <t>Implied enterprise value (Rm)</t>
  </si>
  <si>
    <t>Less: net debt (Rm)</t>
  </si>
  <si>
    <t>Implied equity value (Rm)</t>
  </si>
  <si>
    <t>Estimated value per share (R)</t>
  </si>
  <si>
    <t>Upside / (downside)</t>
  </si>
  <si>
    <t>Valuation indication</t>
  </si>
  <si>
    <t>P/E Valuation and Pick n Pay P/S Valuation</t>
  </si>
  <si>
    <t>FY2025 HEPS used (R/share)</t>
  </si>
  <si>
    <t>P/E multiple</t>
  </si>
  <si>
    <t>Peer P/E multiple</t>
  </si>
  <si>
    <t>P/E implied value per share (R)</t>
  </si>
  <si>
    <t>Revenue (Rm)</t>
  </si>
  <si>
    <t>P/S multiple</t>
  </si>
  <si>
    <t>Peer P/S multiple</t>
  </si>
  <si>
    <t>P/S implied market value (Rm)</t>
  </si>
  <si>
    <t>P/S implied value per share (R)</t>
  </si>
  <si>
    <t>Second valuation method used</t>
  </si>
  <si>
    <t>P/S</t>
  </si>
  <si>
    <t>P/E</t>
  </si>
  <si>
    <t>Second-method value per share (R)</t>
  </si>
  <si>
    <t>Sources, Assumptions and Methodology Notes</t>
  </si>
  <si>
    <t>Company / Topic</t>
  </si>
  <si>
    <t>Input Used</t>
  </si>
  <si>
    <t>Source Document / Web Source</t>
  </si>
  <si>
    <t>Market prices</t>
  </si>
  <si>
    <t>PIK R28.15; SHP R275.01; WHL R58.24; SPP R133.09</t>
  </si>
  <si>
    <t>Valuation Formulas</t>
  </si>
  <si>
    <t>Market capitalisation</t>
  </si>
  <si>
    <t>Current share price × shares outstanding</t>
  </si>
  <si>
    <t>Net debt</t>
  </si>
  <si>
    <t>Borrowings + lease liabilities − cash and cash equivalents</t>
  </si>
  <si>
    <t>Enterprise value</t>
  </si>
  <si>
    <t>Market capitalisation + net debt</t>
  </si>
  <si>
    <t>Enterprise value ÷ EBITDA</t>
  </si>
  <si>
    <t>Average of the other three retailers; target company excluded</t>
  </si>
  <si>
    <t>Implied enterprise value</t>
  </si>
  <si>
    <t>Target EBITDA × peer EV/EBITDA</t>
  </si>
  <si>
    <t>Implied equity value</t>
  </si>
  <si>
    <t>Implied enterprise value − target net debt</t>
  </si>
  <si>
    <t>Estimated value/share</t>
  </si>
  <si>
    <t>Implied equity value ÷ shares outstanding</t>
  </si>
  <si>
    <t>P/E value/share</t>
  </si>
  <si>
    <t>Peer P/E × target HEPS (Shoprite, Woolworths, SPAR only)</t>
  </si>
  <si>
    <t>Pick n Pay P/S value</t>
  </si>
  <si>
    <t>Peer P/S × Pick n Pay revenue ÷ Pick n Pay shares outstanding</t>
  </si>
  <si>
    <t>Important Limitations</t>
  </si>
  <si>
    <t>1. This is a relative valuation, not a discounted-cash-flow valuation.
2. The valuation date is 1 March 2025. Because this date fell on a Saturday, the JSE closing prices from Friday, 28 February 2025 are used for all four retailers.
3. The results are sensitive to peer selection and to the decision to include IFRS 16 lease liabilities in net debt.
4. SPAR's discontinued operations create a comparability issue; continuing-operations EBITDA and HEPS are used to reflect the ongoing retail business.
5. A simple average of the two methods is shown on Summary only as a convenient blended indicator.</t>
  </si>
  <si>
    <t xml:space="preserve"> Retail Relative Valuation 2025 Financial year– Inputs</t>
  </si>
  <si>
    <t xml:space="preserve">Assumptions </t>
  </si>
  <si>
    <t xml:space="preserve">1 March 2025 was a Saturday. So we use immediately preceding JSE trading day close for all prices, 28 February 2025. </t>
  </si>
  <si>
    <t>Headline Earnings Per Share(HEPS) Used
(R/share)</t>
  </si>
  <si>
    <t>Source  For values</t>
  </si>
  <si>
    <t xml:space="preserve"> shp-afs-2025.pdf</t>
  </si>
  <si>
    <t>whlfy25.pdf</t>
  </si>
  <si>
    <t>integrated-annual-report-2025-spread.pdf</t>
  </si>
  <si>
    <t xml:space="preserve"> SPAR_Group_FY25_AFS.pdf</t>
  </si>
  <si>
    <t>investing.com</t>
  </si>
  <si>
    <t>Revenue, EBITDA, borrowings, lease liabilities, cash shares, HEPS</t>
  </si>
  <si>
    <t>Revenue, operating profit, D&amp;A, debt, leases, cash, shares, HEPS</t>
  </si>
  <si>
    <t>Revenue,  operating profit, Depreciation&amp;Amortisation(D&amp;A), debt, leases, cash, shares, HEPS</t>
  </si>
  <si>
    <t>market price (R)</t>
  </si>
  <si>
    <t xml:space="preserve">Peer P/E </t>
  </si>
  <si>
    <t>Peer P/S</t>
  </si>
  <si>
    <t>Average of the other retailers P/S (Target company excluded)</t>
  </si>
  <si>
    <t>Average of the other retailers P/ (Target company exluded)</t>
  </si>
  <si>
    <t>Pick n Pay Integrated Annual Report 2025: EBITDA is the report's IFRS 16 EBITDA.</t>
  </si>
  <si>
    <t>Shoprite Holdings AFS 2025: EBITDA derived as operating profit + total D&amp;A.</t>
  </si>
  <si>
    <t>SPAR Group AFS 2025:  Continuing operations are used because UK and Switzerland are classified as discontinued.</t>
  </si>
  <si>
    <t xml:space="preserve">Woolworths Holdings AFS 2025: comprehensive income and financial position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</si>
</sst>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Red]\(#,##0.000\);\-"/>
    <numFmt numFmtId="165" formatCode="#,##0.0;[Red]\(#,##0.0\);\-"/>
    <numFmt numFmtId="166" formatCode="0.00\x;[Red]\(0.00\x\);\-"/>
    <numFmt numFmtId="167" formatCode="0.0%;[Red]\(0.0%\);\-"/>
    <numFmt numFmtId="168" formatCode="0.00;[Red]\(0.00\);\-"/>
    <numFmt numFmtId="169" formatCode="0.0000;[Red]\(0.0000\);\-"/>
  </numFmts>
  <fonts count="10">
    <font>
      <sz val="11"/>
      <name val="Carlito"/>
    </font>
    <font>
      <sz val="10"/>
      <name val="Carlito"/>
    </font>
    <font>
      <b/>
      <sz val="10"/>
      <color rgb="FF000000"/>
      <name val="Carlito"/>
    </font>
    <font>
      <sz val="10"/>
      <color rgb="FF008000"/>
      <name val="Carlito"/>
    </font>
    <font>
      <sz val="10"/>
      <color rgb="FF000000"/>
      <name val="Carlito"/>
    </font>
    <font>
      <b/>
      <sz val="10"/>
      <name val="Carlito"/>
    </font>
    <font>
      <sz val="10"/>
      <color rgb="FF0000FF"/>
      <name val="Carlito"/>
    </font>
    <font>
      <b/>
      <sz val="15"/>
      <color theme="1"/>
      <name val="Carlito"/>
    </font>
    <font>
      <b/>
      <sz val="10"/>
      <color theme="1"/>
      <name val="Carlito"/>
    </font>
    <font>
      <sz val="10"/>
      <color theme="1"/>
      <name val="Carlito"/>
    </font>
  </fonts>
  <fills count="6">
    <fill>
      <patternFill patternType="none"/>
    </fill>
    <fill>
      <patternFill patternType="gray125"/>
    </fill>
    <fill>
      <patternFill patternType="solid">
        <fgColor rgb="FFD9EAF7"/>
      </patternFill>
    </fill>
    <fill>
      <patternFill patternType="solid">
        <fgColor rgb="FFEAF3F8"/>
      </patternFill>
    </fill>
    <fill>
      <patternFill patternType="solid">
        <fgColor rgb="FFE2F0D9"/>
      </patternFill>
    </fill>
    <fill>
      <patternFill patternType="solid">
        <fgColor theme="0"/>
        <bgColor indexed="64"/>
      </patternFill>
    </fill>
  </fills>
  <borders count="1">
    <border>
      <left/>
      <right/>
      <top/>
      <bottom/>
      <diagonal/>
    </border>
  </borders>
  <cellStyleXfs count="1">
    <xf numFmtId="0" fontId="0" fillId="0" borderId="0"/>
  </cellStyleXfs>
  <cellXfs count="45">
    <xf numFmtId="0" fontId="0" fillId="0" borderId="0" xfId="0"/>
    <xf numFmtId="0" fontId="1" fillId="0" borderId="0" xfId="0" applyFont="1"/>
    <xf numFmtId="0" fontId="2" fillId="2" borderId="0" xfId="0" applyFont="1" applyFill="1" applyAlignment="1">
      <alignment horizontal="center" vertical="center" wrapText="1"/>
    </xf>
    <xf numFmtId="0" fontId="1" fillId="0" borderId="0" xfId="0" applyFont="1" applyAlignment="1">
      <alignment wrapText="1"/>
    </xf>
    <xf numFmtId="0" fontId="5" fillId="0" borderId="0" xfId="0" applyFont="1"/>
    <xf numFmtId="0" fontId="6" fillId="0" borderId="0" xfId="0" applyFont="1"/>
    <xf numFmtId="0" fontId="4" fillId="0" borderId="0" xfId="0" applyFont="1" applyAlignment="1">
      <alignment horizontal="left"/>
    </xf>
    <xf numFmtId="164" fontId="6" fillId="0" borderId="0" xfId="0" applyNumberFormat="1" applyFont="1" applyAlignment="1">
      <alignment horizontal="right"/>
    </xf>
    <xf numFmtId="164" fontId="4" fillId="0" borderId="0" xfId="0" applyNumberFormat="1" applyFont="1" applyAlignment="1">
      <alignment horizontal="right"/>
    </xf>
    <xf numFmtId="165" fontId="6" fillId="0" borderId="0" xfId="0" applyNumberFormat="1" applyFont="1" applyAlignment="1">
      <alignment horizontal="right"/>
    </xf>
    <xf numFmtId="165" fontId="4" fillId="0" borderId="0" xfId="0" applyNumberFormat="1" applyFont="1" applyAlignment="1">
      <alignment horizontal="right"/>
    </xf>
    <xf numFmtId="0" fontId="4" fillId="0" borderId="0" xfId="0" applyFont="1" applyAlignment="1">
      <alignment horizontal="left" wrapText="1"/>
    </xf>
    <xf numFmtId="0" fontId="4" fillId="3" borderId="0" xfId="0" applyFont="1" applyFill="1" applyAlignment="1">
      <alignment horizontal="left" wrapText="1"/>
    </xf>
    <xf numFmtId="0" fontId="2" fillId="4" borderId="0" xfId="0" applyFont="1" applyFill="1" applyAlignment="1">
      <alignment horizontal="left" wrapText="1"/>
    </xf>
    <xf numFmtId="0" fontId="4" fillId="4" borderId="0" xfId="0" applyFont="1" applyFill="1" applyAlignment="1">
      <alignment horizontal="left" wrapText="1"/>
    </xf>
    <xf numFmtId="0" fontId="2" fillId="0" borderId="0" xfId="0" applyFont="1" applyAlignment="1">
      <alignment horizontal="left" wrapText="1"/>
    </xf>
    <xf numFmtId="0" fontId="2" fillId="0" borderId="0" xfId="0" applyFont="1" applyAlignment="1">
      <alignment horizontal="right" wrapText="1"/>
    </xf>
    <xf numFmtId="0" fontId="1" fillId="3" borderId="0" xfId="0" applyFont="1" applyFill="1" applyAlignment="1">
      <alignment wrapText="1"/>
    </xf>
    <xf numFmtId="165" fontId="4" fillId="3" borderId="0" xfId="0" applyNumberFormat="1" applyFont="1" applyFill="1" applyAlignment="1">
      <alignment horizontal="right" wrapText="1"/>
    </xf>
    <xf numFmtId="165" fontId="1" fillId="3" borderId="0" xfId="0" applyNumberFormat="1" applyFont="1" applyFill="1" applyAlignment="1">
      <alignment wrapText="1"/>
    </xf>
    <xf numFmtId="0" fontId="5" fillId="4" borderId="0" xfId="0" applyFont="1" applyFill="1" applyAlignment="1">
      <alignment wrapText="1"/>
    </xf>
    <xf numFmtId="169" fontId="6" fillId="0" borderId="0" xfId="0" applyNumberFormat="1" applyFont="1" applyAlignment="1">
      <alignment horizontal="right"/>
    </xf>
    <xf numFmtId="168" fontId="3" fillId="0" borderId="0" xfId="0" applyNumberFormat="1" applyFont="1" applyAlignment="1">
      <alignment horizontal="right" wrapText="1"/>
    </xf>
    <xf numFmtId="168" fontId="2" fillId="4" borderId="0" xfId="0" applyNumberFormat="1" applyFont="1" applyFill="1" applyAlignment="1">
      <alignment horizontal="right" wrapText="1"/>
    </xf>
    <xf numFmtId="168" fontId="1" fillId="3" borderId="0" xfId="0" applyNumberFormat="1" applyFont="1" applyFill="1" applyAlignment="1">
      <alignment wrapText="1"/>
    </xf>
    <xf numFmtId="168" fontId="4" fillId="3" borderId="0" xfId="0" applyNumberFormat="1" applyFont="1" applyFill="1" applyAlignment="1">
      <alignment horizontal="right" wrapText="1"/>
    </xf>
    <xf numFmtId="15" fontId="6" fillId="0" borderId="0" xfId="0" applyNumberFormat="1" applyFont="1"/>
    <xf numFmtId="168" fontId="6" fillId="5" borderId="0" xfId="0" applyNumberFormat="1" applyFont="1" applyFill="1" applyAlignment="1">
      <alignment horizontal="right"/>
    </xf>
    <xf numFmtId="0" fontId="7" fillId="5" borderId="0" xfId="0" applyFont="1" applyFill="1" applyAlignment="1">
      <alignment horizontal="left" vertical="center"/>
    </xf>
    <xf numFmtId="0" fontId="1" fillId="0" borderId="0" xfId="0" applyFont="1" applyAlignment="1">
      <alignment vertical="top" wrapText="1"/>
    </xf>
    <xf numFmtId="0" fontId="8" fillId="5" borderId="0" xfId="0" applyFont="1" applyFill="1" applyAlignment="1">
      <alignment horizontal="left" vertical="center"/>
    </xf>
    <xf numFmtId="168" fontId="9" fillId="0" borderId="0" xfId="0" applyNumberFormat="1" applyFont="1" applyAlignment="1">
      <alignment horizontal="right" wrapText="1"/>
    </xf>
    <xf numFmtId="164" fontId="9" fillId="0" borderId="0" xfId="0" applyNumberFormat="1" applyFont="1" applyAlignment="1">
      <alignment horizontal="right" wrapText="1"/>
    </xf>
    <xf numFmtId="165" fontId="9" fillId="0" borderId="0" xfId="0" applyNumberFormat="1" applyFont="1" applyAlignment="1">
      <alignment horizontal="right" wrapText="1"/>
    </xf>
    <xf numFmtId="169" fontId="9" fillId="0" borderId="0" xfId="0" applyNumberFormat="1" applyFont="1" applyAlignment="1">
      <alignment horizontal="right" wrapText="1"/>
    </xf>
    <xf numFmtId="166" fontId="9" fillId="3" borderId="0" xfId="0" applyNumberFormat="1" applyFont="1" applyFill="1" applyAlignment="1">
      <alignment wrapText="1"/>
    </xf>
    <xf numFmtId="166" fontId="9" fillId="3" borderId="0" xfId="0" applyNumberFormat="1" applyFont="1" applyFill="1" applyAlignment="1">
      <alignment horizontal="right" wrapText="1"/>
    </xf>
    <xf numFmtId="168" fontId="9" fillId="3" borderId="0" xfId="0" applyNumberFormat="1" applyFont="1" applyFill="1" applyAlignment="1">
      <alignment wrapText="1"/>
    </xf>
    <xf numFmtId="168" fontId="9" fillId="3" borderId="0" xfId="0" applyNumberFormat="1" applyFont="1" applyFill="1" applyAlignment="1">
      <alignment horizontal="right" wrapText="1"/>
    </xf>
    <xf numFmtId="0" fontId="9" fillId="0" borderId="0" xfId="0" applyFont="1" applyAlignment="1">
      <alignment wrapText="1"/>
    </xf>
    <xf numFmtId="169" fontId="9" fillId="5" borderId="0" xfId="0" applyNumberFormat="1" applyFont="1" applyFill="1" applyAlignment="1">
      <alignment horizontal="right" wrapText="1"/>
    </xf>
    <xf numFmtId="0" fontId="9" fillId="0" borderId="0" xfId="0" applyFont="1"/>
    <xf numFmtId="168" fontId="8" fillId="4" borderId="0" xfId="0" applyNumberFormat="1" applyFont="1" applyFill="1" applyAlignment="1">
      <alignment horizontal="right" wrapText="1"/>
    </xf>
    <xf numFmtId="168" fontId="9" fillId="4" borderId="0" xfId="0" applyNumberFormat="1" applyFont="1" applyFill="1" applyAlignment="1">
      <alignment horizontal="right" wrapText="1"/>
    </xf>
    <xf numFmtId="167" fontId="9" fillId="4" borderId="0" xfId="0" applyNumberFormat="1" applyFont="1" applyFill="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0"/>
  <sheetViews>
    <sheetView topLeftCell="K8" workbookViewId="0">
      <selection activeCell="N17" sqref="N17"/>
    </sheetView>
  </sheetViews>
  <sheetFormatPr defaultRowHeight="14"/>
  <cols>
    <col min="1" max="1" width="16" customWidth="1"/>
    <col min="2" max="4" width="14" customWidth="1"/>
    <col min="5" max="5" width="16" customWidth="1"/>
    <col min="6" max="6" width="14" customWidth="1"/>
    <col min="7" max="8" width="18" customWidth="1"/>
    <col min="9" max="9" width="14" customWidth="1"/>
    <col min="10" max="10" width="18" customWidth="1"/>
    <col min="11" max="12" width="16" customWidth="1"/>
    <col min="13" max="13" width="27.58203125" customWidth="1"/>
    <col min="14" max="14" width="52" customWidth="1"/>
  </cols>
  <sheetData>
    <row r="1" spans="1:14" ht="18.649999999999999" customHeight="1">
      <c r="A1" s="28" t="s">
        <v>78</v>
      </c>
      <c r="B1" s="28"/>
      <c r="C1" s="28"/>
      <c r="D1" s="28"/>
      <c r="E1" s="28"/>
      <c r="F1" s="28"/>
      <c r="G1" s="28"/>
      <c r="H1" s="28"/>
      <c r="I1" s="28"/>
      <c r="J1" s="28"/>
      <c r="K1" s="28"/>
      <c r="L1" s="28"/>
      <c r="M1" s="28"/>
      <c r="N1" s="28"/>
    </row>
    <row r="2" spans="1:14">
      <c r="A2" s="1"/>
      <c r="B2" s="1"/>
      <c r="C2" s="1"/>
      <c r="D2" s="1"/>
      <c r="E2" s="1"/>
      <c r="F2" s="1"/>
      <c r="G2" s="1"/>
      <c r="H2" s="1"/>
      <c r="I2" s="1"/>
      <c r="J2" s="1"/>
      <c r="K2" s="1"/>
      <c r="L2" s="1"/>
      <c r="M2" s="1"/>
      <c r="N2" s="1"/>
    </row>
    <row r="3" spans="1:14">
      <c r="A3" s="30" t="s">
        <v>79</v>
      </c>
      <c r="B3" s="30"/>
      <c r="C3" s="30"/>
      <c r="D3" s="30"/>
      <c r="E3" s="30"/>
      <c r="F3" s="30"/>
      <c r="G3" s="30"/>
      <c r="H3" s="30"/>
      <c r="I3" s="30"/>
      <c r="J3" s="30"/>
      <c r="K3" s="30"/>
      <c r="L3" s="30"/>
      <c r="M3" s="30"/>
      <c r="N3" s="30"/>
    </row>
    <row r="4" spans="1:14">
      <c r="A4" s="4" t="s">
        <v>6</v>
      </c>
      <c r="B4" s="26">
        <v>45717</v>
      </c>
      <c r="C4" s="1"/>
      <c r="D4" s="1"/>
      <c r="E4" s="1"/>
      <c r="F4" s="1"/>
      <c r="G4" s="1"/>
      <c r="H4" s="1"/>
      <c r="I4" s="1"/>
      <c r="J4" s="1"/>
      <c r="K4" s="1"/>
      <c r="L4" s="1"/>
      <c r="M4" s="1"/>
      <c r="N4" s="1"/>
    </row>
    <row r="5" spans="1:14">
      <c r="A5" s="4"/>
      <c r="B5" s="5" t="s">
        <v>80</v>
      </c>
      <c r="C5" s="1"/>
      <c r="D5" s="1"/>
      <c r="E5" s="1"/>
      <c r="F5" s="1"/>
      <c r="G5" s="1"/>
      <c r="H5" s="1"/>
      <c r="I5" s="1"/>
      <c r="J5" s="1"/>
      <c r="K5" s="1"/>
      <c r="L5" s="1"/>
      <c r="M5" s="1"/>
      <c r="N5" s="1"/>
    </row>
    <row r="6" spans="1:14">
      <c r="A6" s="1"/>
      <c r="B6" s="1"/>
      <c r="C6" s="1"/>
      <c r="D6" s="1"/>
      <c r="E6" s="1"/>
      <c r="F6" s="1"/>
      <c r="G6" s="1"/>
      <c r="H6" s="1"/>
      <c r="I6" s="1"/>
      <c r="J6" s="1"/>
      <c r="K6" s="1"/>
      <c r="L6" s="1"/>
      <c r="M6" s="1"/>
      <c r="N6" s="1"/>
    </row>
    <row r="7" spans="1:14">
      <c r="A7" s="30" t="s">
        <v>7</v>
      </c>
      <c r="B7" s="30"/>
      <c r="C7" s="30"/>
      <c r="D7" s="30"/>
      <c r="E7" s="30"/>
      <c r="F7" s="30"/>
      <c r="G7" s="30"/>
      <c r="H7" s="30"/>
      <c r="I7" s="30"/>
      <c r="J7" s="30"/>
      <c r="K7" s="30"/>
      <c r="L7" s="30"/>
      <c r="M7" s="30"/>
      <c r="N7" s="30"/>
    </row>
    <row r="8" spans="1:14" ht="43.5" customHeight="1">
      <c r="A8" s="2" t="s">
        <v>0</v>
      </c>
      <c r="B8" s="2" t="s">
        <v>1</v>
      </c>
      <c r="C8" s="2" t="s">
        <v>8</v>
      </c>
      <c r="D8" s="2" t="s">
        <v>9</v>
      </c>
      <c r="E8" s="2" t="s">
        <v>10</v>
      </c>
      <c r="F8" s="2" t="s">
        <v>11</v>
      </c>
      <c r="G8" s="2" t="s">
        <v>12</v>
      </c>
      <c r="H8" s="2" t="s">
        <v>13</v>
      </c>
      <c r="I8" s="2" t="s">
        <v>14</v>
      </c>
      <c r="J8" s="2" t="s">
        <v>15</v>
      </c>
      <c r="K8" s="2" t="s">
        <v>16</v>
      </c>
      <c r="L8" s="2" t="s">
        <v>17</v>
      </c>
      <c r="M8" s="2" t="s">
        <v>81</v>
      </c>
      <c r="N8" s="2" t="s">
        <v>82</v>
      </c>
    </row>
    <row r="9" spans="1:14" ht="38.65" customHeight="1">
      <c r="A9" s="6" t="s">
        <v>2</v>
      </c>
      <c r="B9" s="27">
        <v>28.15</v>
      </c>
      <c r="C9" s="7">
        <v>745.65713000000005</v>
      </c>
      <c r="D9" s="7">
        <v>9.9457880000000003</v>
      </c>
      <c r="E9" s="8">
        <f>C9-D9</f>
        <v>735.71134200000006</v>
      </c>
      <c r="F9" s="9">
        <v>122124</v>
      </c>
      <c r="G9" s="9">
        <v>1759</v>
      </c>
      <c r="H9" s="9">
        <v>3894</v>
      </c>
      <c r="I9" s="9">
        <v>5653</v>
      </c>
      <c r="J9" s="9">
        <v>1150</v>
      </c>
      <c r="K9" s="9">
        <v>19120</v>
      </c>
      <c r="L9" s="9">
        <v>5328</v>
      </c>
      <c r="M9" s="21">
        <v>-0.61539999999999995</v>
      </c>
      <c r="N9" s="3" t="s">
        <v>96</v>
      </c>
    </row>
    <row r="10" spans="1:14" ht="38.65" customHeight="1">
      <c r="A10" s="6" t="s">
        <v>3</v>
      </c>
      <c r="B10" s="27">
        <v>275.01</v>
      </c>
      <c r="C10" s="7">
        <v>591.33850199999995</v>
      </c>
      <c r="D10" s="7">
        <v>50.815502000000002</v>
      </c>
      <c r="E10" s="8">
        <f>C10-D10</f>
        <v>540.52299999999991</v>
      </c>
      <c r="F10" s="9">
        <v>256682</v>
      </c>
      <c r="G10" s="9">
        <v>14943</v>
      </c>
      <c r="H10" s="9">
        <v>9067</v>
      </c>
      <c r="I10" s="10">
        <f>G10+H10</f>
        <v>24010</v>
      </c>
      <c r="J10" s="9">
        <v>8856</v>
      </c>
      <c r="K10" s="9">
        <v>47020</v>
      </c>
      <c r="L10" s="9">
        <v>9946</v>
      </c>
      <c r="M10" s="21">
        <v>14.316000000000001</v>
      </c>
      <c r="N10" s="3" t="s">
        <v>97</v>
      </c>
    </row>
    <row r="11" spans="1:14" ht="38.65" customHeight="1">
      <c r="A11" s="6" t="s">
        <v>4</v>
      </c>
      <c r="B11" s="27">
        <v>58.24</v>
      </c>
      <c r="C11" s="7">
        <v>988.69594900000004</v>
      </c>
      <c r="D11" s="7">
        <v>84.261465000000001</v>
      </c>
      <c r="E11" s="8">
        <f>C11-D11</f>
        <v>904.434484</v>
      </c>
      <c r="F11" s="9">
        <v>80243</v>
      </c>
      <c r="G11" s="9">
        <v>4384</v>
      </c>
      <c r="H11" s="9">
        <v>3485</v>
      </c>
      <c r="I11" s="10">
        <f>G11+H11</f>
        <v>7869</v>
      </c>
      <c r="J11" s="9">
        <v>9854</v>
      </c>
      <c r="K11" s="9">
        <v>9816</v>
      </c>
      <c r="L11" s="9">
        <v>4291</v>
      </c>
      <c r="M11" s="21">
        <v>2.681</v>
      </c>
      <c r="N11" s="3" t="s">
        <v>99</v>
      </c>
    </row>
    <row r="12" spans="1:14" ht="38.65" customHeight="1">
      <c r="A12" s="6" t="s">
        <v>5</v>
      </c>
      <c r="B12" s="27">
        <v>133.09</v>
      </c>
      <c r="C12" s="7">
        <v>192.60235499999999</v>
      </c>
      <c r="D12" s="7">
        <v>1.7689E-2</v>
      </c>
      <c r="E12" s="8">
        <f>C12-D12</f>
        <v>192.584666</v>
      </c>
      <c r="F12" s="9">
        <v>131457.70000000001</v>
      </c>
      <c r="G12" s="9">
        <v>1983.5</v>
      </c>
      <c r="H12" s="9">
        <v>1134.5999999999999</v>
      </c>
      <c r="I12" s="10">
        <f>G12+H12</f>
        <v>3118.1</v>
      </c>
      <c r="J12" s="9">
        <v>7727.5</v>
      </c>
      <c r="K12" s="9">
        <v>8537.6</v>
      </c>
      <c r="L12" s="9">
        <v>2752.6</v>
      </c>
      <c r="M12" s="21">
        <v>7.6890000000000001</v>
      </c>
      <c r="N12" s="3" t="s">
        <v>98</v>
      </c>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sheetData>
  <mergeCells count="3">
    <mergeCell ref="A1:N1"/>
    <mergeCell ref="A3:N3"/>
    <mergeCell ref="A7:N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0"/>
  <sheetViews>
    <sheetView workbookViewId="0">
      <selection sqref="A1:E1"/>
    </sheetView>
  </sheetViews>
  <sheetFormatPr defaultRowHeight="14"/>
  <cols>
    <col min="1" max="1" width="34" customWidth="1"/>
    <col min="2" max="5" width="17" customWidth="1"/>
  </cols>
  <sheetData>
    <row r="1" spans="1:15" ht="18.649999999999999" customHeight="1">
      <c r="A1" s="28" t="s">
        <v>18</v>
      </c>
      <c r="B1" s="28"/>
      <c r="C1" s="28"/>
      <c r="D1" s="28"/>
      <c r="E1" s="28"/>
      <c r="F1" s="1"/>
      <c r="G1" s="1"/>
      <c r="H1" s="1"/>
      <c r="I1" s="1"/>
      <c r="J1" s="1"/>
      <c r="K1" s="1"/>
      <c r="L1" s="1"/>
      <c r="M1" s="1"/>
      <c r="N1" s="1"/>
      <c r="O1" s="1"/>
    </row>
    <row r="2" spans="1:15">
      <c r="A2" s="1"/>
      <c r="B2" s="1"/>
      <c r="C2" s="1"/>
      <c r="D2" s="1"/>
      <c r="E2" s="1"/>
      <c r="F2" s="1"/>
      <c r="G2" s="1"/>
      <c r="H2" s="1"/>
      <c r="I2" s="1"/>
      <c r="J2" s="1"/>
      <c r="K2" s="1"/>
      <c r="L2" s="1"/>
      <c r="M2" s="1"/>
      <c r="N2" s="1"/>
      <c r="O2" s="1"/>
    </row>
    <row r="3" spans="1:15">
      <c r="A3" s="2" t="s">
        <v>19</v>
      </c>
      <c r="B3" s="2" t="s">
        <v>2</v>
      </c>
      <c r="C3" s="2" t="s">
        <v>3</v>
      </c>
      <c r="D3" s="2" t="s">
        <v>4</v>
      </c>
      <c r="E3" s="2" t="s">
        <v>5</v>
      </c>
      <c r="F3" s="1"/>
      <c r="G3" s="1"/>
      <c r="H3" s="1"/>
      <c r="I3" s="1"/>
      <c r="J3" s="1"/>
      <c r="K3" s="1"/>
      <c r="L3" s="1"/>
      <c r="M3" s="1"/>
      <c r="N3" s="1"/>
      <c r="O3" s="1"/>
    </row>
    <row r="4" spans="1:15">
      <c r="A4" s="11" t="s">
        <v>20</v>
      </c>
      <c r="B4" s="22">
        <f>Inputs!B9</f>
        <v>28.15</v>
      </c>
      <c r="C4" s="22">
        <f>Inputs!B10</f>
        <v>275.01</v>
      </c>
      <c r="D4" s="22">
        <f>Inputs!B11</f>
        <v>58.24</v>
      </c>
      <c r="E4" s="22">
        <f>Inputs!B12</f>
        <v>133.09</v>
      </c>
      <c r="F4" s="1"/>
      <c r="G4" s="1"/>
      <c r="H4" s="1"/>
      <c r="I4" s="1"/>
      <c r="J4" s="1"/>
      <c r="K4" s="1"/>
      <c r="L4" s="1"/>
      <c r="M4" s="1"/>
      <c r="N4" s="1"/>
      <c r="O4" s="1"/>
    </row>
    <row r="5" spans="1:15">
      <c r="A5" s="11" t="s">
        <v>21</v>
      </c>
      <c r="B5" s="32">
        <f>Inputs!E9</f>
        <v>735.71134200000006</v>
      </c>
      <c r="C5" s="32">
        <f>Inputs!E10</f>
        <v>540.52299999999991</v>
      </c>
      <c r="D5" s="32">
        <f>Inputs!E11</f>
        <v>904.434484</v>
      </c>
      <c r="E5" s="32">
        <f>Inputs!E12</f>
        <v>192.584666</v>
      </c>
      <c r="F5" s="41"/>
      <c r="G5" s="1"/>
      <c r="H5" s="1"/>
      <c r="I5" s="1"/>
      <c r="J5" s="1"/>
      <c r="K5" s="1"/>
      <c r="L5" s="1"/>
      <c r="M5" s="1"/>
      <c r="N5" s="1"/>
      <c r="O5" s="1"/>
    </row>
    <row r="6" spans="1:15">
      <c r="A6" s="11" t="s">
        <v>22</v>
      </c>
      <c r="B6" s="33">
        <f>B4*B5</f>
        <v>20710.274277299999</v>
      </c>
      <c r="C6" s="33">
        <f>C4*C5</f>
        <v>148649.23022999996</v>
      </c>
      <c r="D6" s="33">
        <f>D4*D5</f>
        <v>52674.264348160003</v>
      </c>
      <c r="E6" s="33">
        <f>E4*E5</f>
        <v>25631.093197940001</v>
      </c>
      <c r="F6" s="41"/>
      <c r="G6" s="1"/>
      <c r="H6" s="1"/>
      <c r="I6" s="1"/>
      <c r="J6" s="1"/>
      <c r="K6" s="1"/>
      <c r="L6" s="1"/>
      <c r="M6" s="1"/>
      <c r="N6" s="1"/>
      <c r="O6" s="1"/>
    </row>
    <row r="7" spans="1:15">
      <c r="A7" s="11" t="s">
        <v>23</v>
      </c>
      <c r="B7" s="33">
        <f>Inputs!J9</f>
        <v>1150</v>
      </c>
      <c r="C7" s="33">
        <f>Inputs!J10</f>
        <v>8856</v>
      </c>
      <c r="D7" s="33">
        <f>Inputs!J11</f>
        <v>9854</v>
      </c>
      <c r="E7" s="33">
        <f>Inputs!J12</f>
        <v>7727.5</v>
      </c>
      <c r="F7" s="41"/>
      <c r="G7" s="1"/>
      <c r="H7" s="1"/>
      <c r="I7" s="1"/>
      <c r="J7" s="1"/>
      <c r="K7" s="1"/>
      <c r="L7" s="1"/>
      <c r="M7" s="1"/>
      <c r="N7" s="1"/>
      <c r="O7" s="1"/>
    </row>
    <row r="8" spans="1:15">
      <c r="A8" s="11" t="s">
        <v>24</v>
      </c>
      <c r="B8" s="33">
        <f>Inputs!K9</f>
        <v>19120</v>
      </c>
      <c r="C8" s="33">
        <f>Inputs!K10</f>
        <v>47020</v>
      </c>
      <c r="D8" s="33">
        <f>Inputs!K11</f>
        <v>9816</v>
      </c>
      <c r="E8" s="33">
        <f>Inputs!K12</f>
        <v>8537.6</v>
      </c>
      <c r="F8" s="41"/>
      <c r="G8" s="1"/>
      <c r="H8" s="1"/>
      <c r="I8" s="1"/>
      <c r="J8" s="1"/>
      <c r="K8" s="1"/>
      <c r="L8" s="1"/>
      <c r="M8" s="1"/>
      <c r="N8" s="1"/>
      <c r="O8" s="1"/>
    </row>
    <row r="9" spans="1:15">
      <c r="A9" s="11" t="s">
        <v>25</v>
      </c>
      <c r="B9" s="33">
        <f>Inputs!L9</f>
        <v>5328</v>
      </c>
      <c r="C9" s="33">
        <f>Inputs!L10</f>
        <v>9946</v>
      </c>
      <c r="D9" s="33">
        <f>Inputs!L11</f>
        <v>4291</v>
      </c>
      <c r="E9" s="33">
        <f>Inputs!L12</f>
        <v>2752.6</v>
      </c>
      <c r="F9" s="41"/>
      <c r="G9" s="1"/>
      <c r="H9" s="1"/>
      <c r="I9" s="1"/>
      <c r="J9" s="1"/>
      <c r="K9" s="1"/>
      <c r="L9" s="1"/>
      <c r="M9" s="1"/>
      <c r="N9" s="1"/>
      <c r="O9" s="1"/>
    </row>
    <row r="10" spans="1:15">
      <c r="A10" s="11" t="s">
        <v>26</v>
      </c>
      <c r="B10" s="33">
        <f>B7+B8-B9</f>
        <v>14942</v>
      </c>
      <c r="C10" s="33">
        <f>C7+C8-C9</f>
        <v>45930</v>
      </c>
      <c r="D10" s="33">
        <f>D7+D8-D9</f>
        <v>15379</v>
      </c>
      <c r="E10" s="33">
        <f>E7+E8-E9</f>
        <v>13512.5</v>
      </c>
      <c r="F10" s="41"/>
      <c r="G10" s="1"/>
      <c r="H10" s="1"/>
      <c r="I10" s="1"/>
      <c r="J10" s="1"/>
      <c r="K10" s="1"/>
      <c r="L10" s="1"/>
      <c r="M10" s="1"/>
      <c r="N10" s="1"/>
      <c r="O10" s="1"/>
    </row>
    <row r="11" spans="1:15">
      <c r="A11" s="11" t="s">
        <v>27</v>
      </c>
      <c r="B11" s="33">
        <f>B6+B10</f>
        <v>35652.274277299999</v>
      </c>
      <c r="C11" s="33">
        <f>C6+C10</f>
        <v>194579.23022999996</v>
      </c>
      <c r="D11" s="33">
        <f>D6+D10</f>
        <v>68053.26434816001</v>
      </c>
      <c r="E11" s="33">
        <f>E6+E10</f>
        <v>39143.593197940005</v>
      </c>
      <c r="F11" s="41"/>
      <c r="G11" s="1"/>
      <c r="H11" s="1"/>
      <c r="I11" s="1"/>
      <c r="J11" s="1"/>
      <c r="K11" s="1"/>
      <c r="L11" s="1"/>
      <c r="M11" s="1"/>
      <c r="N11" s="1"/>
      <c r="O11" s="1"/>
    </row>
    <row r="12" spans="1:15">
      <c r="A12" s="11" t="s">
        <v>28</v>
      </c>
      <c r="B12" s="33">
        <f>Inputs!I9</f>
        <v>5653</v>
      </c>
      <c r="C12" s="33">
        <f>Inputs!I10</f>
        <v>24010</v>
      </c>
      <c r="D12" s="33">
        <f>Inputs!I11</f>
        <v>7869</v>
      </c>
      <c r="E12" s="33">
        <f>Inputs!I12</f>
        <v>3118.1</v>
      </c>
      <c r="F12" s="41"/>
      <c r="G12" s="1"/>
      <c r="H12" s="1"/>
      <c r="I12" s="1"/>
      <c r="J12" s="1"/>
      <c r="K12" s="1"/>
      <c r="L12" s="1"/>
      <c r="M12" s="1"/>
      <c r="N12" s="1"/>
      <c r="O12" s="1"/>
    </row>
    <row r="13" spans="1:15">
      <c r="A13" s="12" t="s">
        <v>29</v>
      </c>
      <c r="B13" s="36">
        <f>B11/B12</f>
        <v>6.3067883030780116</v>
      </c>
      <c r="C13" s="36">
        <f>C11/C12</f>
        <v>8.1040912215743415</v>
      </c>
      <c r="D13" s="36">
        <f>D11/D12</f>
        <v>8.6482735224501219</v>
      </c>
      <c r="E13" s="36">
        <f>E11/E12</f>
        <v>12.553668322997982</v>
      </c>
      <c r="F13" s="41"/>
      <c r="G13" s="1"/>
      <c r="H13" s="1"/>
      <c r="I13" s="1"/>
      <c r="J13" s="1"/>
      <c r="K13" s="1"/>
      <c r="L13" s="1"/>
      <c r="M13" s="1"/>
      <c r="N13" s="1"/>
      <c r="O13" s="1"/>
    </row>
    <row r="14" spans="1:15">
      <c r="A14" s="12" t="s">
        <v>30</v>
      </c>
      <c r="B14" s="36">
        <f>AVERAGE(C13:E13)</f>
        <v>9.7686776890074807</v>
      </c>
      <c r="C14" s="36">
        <f>AVERAGE(B13,D13,E13)</f>
        <v>9.1695767161753725</v>
      </c>
      <c r="D14" s="36">
        <f>AVERAGE(B13,C13,E13)</f>
        <v>8.9881826158834457</v>
      </c>
      <c r="E14" s="36">
        <f>AVERAGE(B13:D13)</f>
        <v>7.6863843490341592</v>
      </c>
      <c r="F14" s="41"/>
      <c r="G14" s="1"/>
      <c r="H14" s="1"/>
      <c r="I14" s="1"/>
      <c r="J14" s="1"/>
      <c r="K14" s="1"/>
      <c r="L14" s="1"/>
      <c r="M14" s="1"/>
      <c r="N14" s="1"/>
      <c r="O14" s="1"/>
    </row>
    <row r="15" spans="1:15">
      <c r="A15" s="11" t="s">
        <v>31</v>
      </c>
      <c r="B15" s="33">
        <f>B12*B14</f>
        <v>55222.334975959289</v>
      </c>
      <c r="C15" s="33">
        <f>C12*C14</f>
        <v>220161.53695537068</v>
      </c>
      <c r="D15" s="33">
        <f>D12*D14</f>
        <v>70728.00900438684</v>
      </c>
      <c r="E15" s="33">
        <f>E12*E14</f>
        <v>23966.915038723411</v>
      </c>
      <c r="F15" s="41"/>
      <c r="G15" s="1"/>
      <c r="H15" s="1"/>
      <c r="I15" s="1"/>
      <c r="J15" s="1"/>
      <c r="K15" s="1"/>
      <c r="L15" s="1"/>
      <c r="M15" s="1"/>
      <c r="N15" s="1"/>
      <c r="O15" s="1"/>
    </row>
    <row r="16" spans="1:15">
      <c r="A16" s="11" t="s">
        <v>32</v>
      </c>
      <c r="B16" s="33">
        <f>B10</f>
        <v>14942</v>
      </c>
      <c r="C16" s="33">
        <f>C10</f>
        <v>45930</v>
      </c>
      <c r="D16" s="33">
        <f>D10</f>
        <v>15379</v>
      </c>
      <c r="E16" s="33">
        <f>E10</f>
        <v>13512.5</v>
      </c>
      <c r="F16" s="41"/>
      <c r="G16" s="1"/>
      <c r="H16" s="1"/>
      <c r="I16" s="1"/>
      <c r="J16" s="1"/>
      <c r="K16" s="1"/>
      <c r="L16" s="1"/>
      <c r="M16" s="1"/>
      <c r="N16" s="1"/>
      <c r="O16" s="1"/>
    </row>
    <row r="17" spans="1:15">
      <c r="A17" s="11" t="s">
        <v>33</v>
      </c>
      <c r="B17" s="33">
        <f>B15-B16</f>
        <v>40280.334975959289</v>
      </c>
      <c r="C17" s="33">
        <f>C15-C16</f>
        <v>174231.53695537068</v>
      </c>
      <c r="D17" s="33">
        <f>D15-D16</f>
        <v>55349.00900438684</v>
      </c>
      <c r="E17" s="33">
        <f>E15-E16</f>
        <v>10454.415038723411</v>
      </c>
      <c r="F17" s="41"/>
      <c r="G17" s="1"/>
      <c r="H17" s="1"/>
      <c r="I17" s="1"/>
      <c r="J17" s="1"/>
      <c r="K17" s="1"/>
      <c r="L17" s="1"/>
      <c r="M17" s="1"/>
      <c r="N17" s="1"/>
      <c r="O17" s="1"/>
    </row>
    <row r="18" spans="1:15">
      <c r="A18" s="13" t="s">
        <v>34</v>
      </c>
      <c r="B18" s="42">
        <f>B17/B5</f>
        <v>54.750188934778286</v>
      </c>
      <c r="C18" s="42">
        <f>C17/C5</f>
        <v>322.33880326160164</v>
      </c>
      <c r="D18" s="42">
        <f>D17/D5</f>
        <v>61.197366955312646</v>
      </c>
      <c r="E18" s="42">
        <f>E17/E5</f>
        <v>54.284773839280703</v>
      </c>
      <c r="F18" s="41"/>
      <c r="G18" s="1"/>
      <c r="H18" s="1"/>
      <c r="I18" s="1"/>
      <c r="J18" s="1"/>
      <c r="K18" s="1"/>
      <c r="L18" s="1"/>
      <c r="M18" s="1"/>
      <c r="N18" s="1"/>
      <c r="O18" s="1"/>
    </row>
    <row r="19" spans="1:15">
      <c r="A19" s="14" t="s">
        <v>91</v>
      </c>
      <c r="B19" s="43">
        <f>B4</f>
        <v>28.15</v>
      </c>
      <c r="C19" s="43">
        <f>C4</f>
        <v>275.01</v>
      </c>
      <c r="D19" s="43">
        <f>D4</f>
        <v>58.24</v>
      </c>
      <c r="E19" s="43">
        <f>E4</f>
        <v>133.09</v>
      </c>
      <c r="F19" s="41"/>
      <c r="G19" s="1"/>
      <c r="H19" s="1"/>
      <c r="I19" s="1"/>
      <c r="J19" s="1"/>
      <c r="K19" s="1"/>
      <c r="L19" s="1"/>
      <c r="M19" s="1"/>
      <c r="N19" s="1"/>
      <c r="O19" s="1"/>
    </row>
    <row r="20" spans="1:15">
      <c r="A20" s="14" t="s">
        <v>35</v>
      </c>
      <c r="B20" s="44">
        <f>B18/B19-1</f>
        <v>0.94494454475233702</v>
      </c>
      <c r="C20" s="44">
        <f>C18/C19-1</f>
        <v>0.17209848100651493</v>
      </c>
      <c r="D20" s="44">
        <f>D18/D19-1</f>
        <v>5.0778965578857305E-2</v>
      </c>
      <c r="E20" s="44">
        <f>E18/E19-1</f>
        <v>-0.59211981486752796</v>
      </c>
      <c r="F20" s="41"/>
      <c r="G20" s="1"/>
      <c r="H20" s="1"/>
      <c r="I20" s="1"/>
      <c r="J20" s="1"/>
      <c r="K20" s="1"/>
      <c r="L20" s="1"/>
      <c r="M20" s="1"/>
      <c r="N20" s="1"/>
      <c r="O20" s="1"/>
    </row>
    <row r="21" spans="1:15">
      <c r="A21" s="15" t="s">
        <v>36</v>
      </c>
      <c r="B21" s="16" t="str">
        <f>IF(B20&gt;0,"Undervalued",IF(B20&lt;0,"Overvalued","Fairly valued"))</f>
        <v>Undervalued</v>
      </c>
      <c r="C21" s="16" t="str">
        <f>IF(C20&gt;0,"Undervalued",IF(C20&lt;0,"Overvalued","Fairly valued"))</f>
        <v>Undervalued</v>
      </c>
      <c r="D21" s="16" t="str">
        <f>IF(D20&gt;0,"Undervalued",IF(D20&lt;0,"Overvalued","Fairly valued"))</f>
        <v>Undervalued</v>
      </c>
      <c r="E21" s="16" t="str">
        <f>IF(E20&gt;0,"Undervalued",IF(E20&lt;0,"Overvalued","Fairly valued"))</f>
        <v>Overvalued</v>
      </c>
      <c r="F21" s="1"/>
      <c r="G21" s="1"/>
      <c r="H21" s="1"/>
      <c r="I21" s="1"/>
      <c r="J21" s="1"/>
      <c r="K21" s="1"/>
      <c r="L21" s="1"/>
      <c r="M21" s="1"/>
      <c r="N21" s="1"/>
      <c r="O21" s="1"/>
    </row>
    <row r="22" spans="1:15">
      <c r="A22" s="1"/>
      <c r="B22" s="1"/>
      <c r="C22" s="1"/>
      <c r="D22" s="1"/>
      <c r="E22" s="1"/>
      <c r="F22" s="1"/>
      <c r="G22" s="1"/>
      <c r="H22" s="1"/>
      <c r="I22" s="1"/>
      <c r="J22" s="1"/>
      <c r="K22" s="1"/>
      <c r="L22" s="1"/>
      <c r="M22" s="1"/>
      <c r="N22" s="1"/>
      <c r="O22" s="1"/>
    </row>
    <row r="23" spans="1:15">
      <c r="A23" s="1"/>
      <c r="B23" s="1"/>
      <c r="C23" s="1"/>
      <c r="D23" s="1"/>
      <c r="E23" s="1"/>
      <c r="F23" s="1"/>
      <c r="G23" s="1"/>
      <c r="H23" s="1"/>
      <c r="I23" s="1"/>
      <c r="J23" s="1"/>
      <c r="K23" s="1"/>
      <c r="L23" s="1"/>
      <c r="M23" s="1"/>
      <c r="N23" s="1"/>
      <c r="O23" s="1"/>
    </row>
    <row r="24" spans="1:15">
      <c r="A24" s="1"/>
      <c r="B24" s="1"/>
      <c r="C24" s="1"/>
      <c r="D24" s="1"/>
      <c r="E24" s="1"/>
      <c r="F24" s="1"/>
      <c r="G24" s="1"/>
      <c r="H24" s="1"/>
      <c r="I24" s="1"/>
      <c r="J24" s="1"/>
      <c r="K24" s="1"/>
      <c r="L24" s="1"/>
      <c r="M24" s="1"/>
      <c r="N24" s="1"/>
      <c r="O24" s="1"/>
    </row>
    <row r="25" spans="1:15">
      <c r="A25" s="1"/>
      <c r="B25" s="1"/>
      <c r="C25" s="1"/>
      <c r="D25" s="1"/>
      <c r="E25" s="1"/>
      <c r="F25" s="1"/>
      <c r="G25" s="1"/>
      <c r="H25" s="1"/>
      <c r="I25" s="1"/>
      <c r="J25" s="1"/>
      <c r="K25" s="1"/>
      <c r="L25" s="1"/>
      <c r="M25" s="1"/>
      <c r="N25" s="1"/>
      <c r="O25" s="1"/>
    </row>
    <row r="26" spans="1:15">
      <c r="A26" s="1"/>
      <c r="B26" s="1"/>
      <c r="C26" s="1"/>
      <c r="D26" s="1"/>
      <c r="E26" s="1"/>
      <c r="F26" s="1"/>
      <c r="G26" s="1"/>
      <c r="H26" s="1"/>
      <c r="I26" s="1"/>
      <c r="J26" s="1"/>
      <c r="K26" s="1"/>
      <c r="L26" s="1"/>
      <c r="M26" s="1"/>
      <c r="N26" s="1"/>
      <c r="O26" s="1"/>
    </row>
    <row r="27" spans="1:15">
      <c r="A27" s="1"/>
      <c r="B27" s="1"/>
      <c r="C27" s="1"/>
      <c r="D27" s="1"/>
      <c r="E27" s="1"/>
      <c r="F27" s="1"/>
      <c r="G27" s="1"/>
      <c r="H27" s="1"/>
      <c r="I27" s="1"/>
      <c r="J27" s="1"/>
      <c r="K27" s="1"/>
      <c r="L27" s="1"/>
      <c r="M27" s="1"/>
      <c r="N27" s="1"/>
      <c r="O27" s="1"/>
    </row>
    <row r="28" spans="1:15">
      <c r="A28" s="1"/>
      <c r="B28" s="1"/>
      <c r="C28" s="1"/>
      <c r="D28" s="1"/>
      <c r="E28" s="1"/>
      <c r="F28" s="1"/>
      <c r="G28" s="1"/>
      <c r="H28" s="1"/>
      <c r="I28" s="1"/>
      <c r="J28" s="1"/>
      <c r="K28" s="1"/>
      <c r="L28" s="1"/>
      <c r="M28" s="1"/>
      <c r="N28" s="1"/>
      <c r="O28" s="1"/>
    </row>
    <row r="29" spans="1:15">
      <c r="A29" s="1"/>
      <c r="B29" s="1"/>
      <c r="C29" s="1"/>
      <c r="D29" s="1"/>
      <c r="E29" s="1"/>
      <c r="F29" s="1"/>
      <c r="G29" s="1"/>
      <c r="H29" s="1"/>
      <c r="I29" s="1"/>
      <c r="J29" s="1"/>
      <c r="K29" s="1"/>
      <c r="L29" s="1"/>
      <c r="M29" s="1"/>
      <c r="N29" s="1"/>
      <c r="O29" s="1"/>
    </row>
    <row r="30" spans="1:15">
      <c r="A30" s="1"/>
      <c r="B30" s="1"/>
      <c r="C30" s="1"/>
      <c r="D30" s="1"/>
      <c r="E30" s="1"/>
      <c r="F30" s="1"/>
      <c r="G30" s="1"/>
      <c r="H30" s="1"/>
      <c r="I30" s="1"/>
      <c r="J30" s="1"/>
      <c r="K30" s="1"/>
      <c r="L30" s="1"/>
      <c r="M30" s="1"/>
      <c r="N30" s="1"/>
      <c r="O30" s="1"/>
    </row>
    <row r="31" spans="1:15">
      <c r="A31" s="1"/>
      <c r="B31" s="1"/>
      <c r="C31" s="1"/>
      <c r="D31" s="1"/>
      <c r="E31" s="1"/>
      <c r="F31" s="1"/>
      <c r="G31" s="1"/>
      <c r="H31" s="1"/>
      <c r="I31" s="1"/>
      <c r="J31" s="1"/>
      <c r="K31" s="1"/>
      <c r="L31" s="1"/>
      <c r="M31" s="1"/>
      <c r="N31" s="1"/>
      <c r="O31" s="1"/>
    </row>
    <row r="32" spans="1:15">
      <c r="A32" s="1"/>
      <c r="B32" s="1"/>
      <c r="C32" s="1"/>
      <c r="D32" s="1"/>
      <c r="E32" s="1"/>
      <c r="F32" s="1"/>
      <c r="G32" s="1"/>
      <c r="H32" s="1"/>
      <c r="I32" s="1"/>
      <c r="J32" s="1"/>
      <c r="K32" s="1"/>
      <c r="L32" s="1"/>
      <c r="M32" s="1"/>
      <c r="N32" s="1"/>
      <c r="O32" s="1"/>
    </row>
    <row r="33" spans="1:15">
      <c r="A33" s="1"/>
      <c r="B33" s="1"/>
      <c r="C33" s="1"/>
      <c r="D33" s="1"/>
      <c r="E33" s="1"/>
      <c r="F33" s="1"/>
      <c r="G33" s="1"/>
      <c r="H33" s="1"/>
      <c r="I33" s="1"/>
      <c r="J33" s="1"/>
      <c r="K33" s="1"/>
      <c r="L33" s="1"/>
      <c r="M33" s="1"/>
      <c r="N33" s="1"/>
      <c r="O33" s="1"/>
    </row>
    <row r="34" spans="1:15">
      <c r="A34" s="1"/>
      <c r="B34" s="1"/>
      <c r="C34" s="1"/>
      <c r="D34" s="1"/>
      <c r="E34" s="1"/>
      <c r="F34" s="1"/>
      <c r="G34" s="1"/>
      <c r="H34" s="1"/>
      <c r="I34" s="1"/>
      <c r="J34" s="1"/>
      <c r="K34" s="1"/>
      <c r="L34" s="1"/>
      <c r="M34" s="1"/>
      <c r="N34" s="1"/>
      <c r="O34" s="1"/>
    </row>
    <row r="35" spans="1:15">
      <c r="A35" s="1"/>
      <c r="B35" s="1"/>
      <c r="C35" s="1"/>
      <c r="D35" s="1"/>
      <c r="E35" s="1"/>
      <c r="F35" s="1"/>
      <c r="G35" s="1"/>
      <c r="H35" s="1"/>
      <c r="I35" s="1"/>
      <c r="J35" s="1"/>
      <c r="K35" s="1"/>
      <c r="L35" s="1"/>
      <c r="M35" s="1"/>
      <c r="N35" s="1"/>
      <c r="O35" s="1"/>
    </row>
    <row r="36" spans="1:15">
      <c r="A36" s="1"/>
      <c r="B36" s="1"/>
      <c r="C36" s="1"/>
      <c r="D36" s="1"/>
      <c r="E36" s="1"/>
      <c r="F36" s="1"/>
      <c r="G36" s="1"/>
      <c r="H36" s="1"/>
      <c r="I36" s="1"/>
      <c r="J36" s="1"/>
      <c r="K36" s="1"/>
      <c r="L36" s="1"/>
      <c r="M36" s="1"/>
      <c r="N36" s="1"/>
      <c r="O36" s="1"/>
    </row>
    <row r="37" spans="1:15">
      <c r="A37" s="1"/>
      <c r="B37" s="1"/>
      <c r="C37" s="1"/>
      <c r="D37" s="1"/>
      <c r="E37" s="1"/>
      <c r="F37" s="1"/>
      <c r="G37" s="1"/>
      <c r="H37" s="1"/>
      <c r="I37" s="1"/>
      <c r="J37" s="1"/>
      <c r="K37" s="1"/>
      <c r="L37" s="1"/>
      <c r="M37" s="1"/>
      <c r="N37" s="1"/>
      <c r="O37" s="1"/>
    </row>
    <row r="38" spans="1:15">
      <c r="A38" s="1"/>
      <c r="B38" s="1"/>
      <c r="C38" s="1"/>
      <c r="D38" s="1"/>
      <c r="E38" s="1"/>
      <c r="F38" s="1"/>
      <c r="G38" s="1"/>
      <c r="H38" s="1"/>
      <c r="I38" s="1"/>
      <c r="J38" s="1"/>
      <c r="K38" s="1"/>
      <c r="L38" s="1"/>
      <c r="M38" s="1"/>
      <c r="N38" s="1"/>
      <c r="O38" s="1"/>
    </row>
    <row r="39" spans="1:15">
      <c r="A39" s="1"/>
      <c r="B39" s="1"/>
      <c r="C39" s="1"/>
      <c r="D39" s="1"/>
      <c r="E39" s="1"/>
      <c r="F39" s="1"/>
      <c r="G39" s="1"/>
      <c r="H39" s="1"/>
      <c r="I39" s="1"/>
      <c r="J39" s="1"/>
      <c r="K39" s="1"/>
      <c r="L39" s="1"/>
      <c r="M39" s="1"/>
      <c r="N39" s="1"/>
      <c r="O39" s="1"/>
    </row>
    <row r="40" spans="1:15">
      <c r="A40" s="1"/>
      <c r="B40" s="1"/>
      <c r="C40" s="1"/>
      <c r="D40" s="1"/>
      <c r="E40" s="1"/>
      <c r="F40" s="1"/>
      <c r="G40" s="1"/>
      <c r="H40" s="1"/>
      <c r="I40" s="1"/>
      <c r="J40" s="1"/>
      <c r="K40" s="1"/>
      <c r="L40" s="1"/>
      <c r="M40" s="1"/>
      <c r="N40" s="1"/>
      <c r="O40" s="1"/>
    </row>
    <row r="41" spans="1:15">
      <c r="A41" s="1"/>
      <c r="B41" s="1"/>
      <c r="C41" s="1"/>
      <c r="D41" s="1"/>
      <c r="E41" s="1"/>
      <c r="F41" s="1"/>
      <c r="G41" s="1"/>
      <c r="H41" s="1"/>
      <c r="I41" s="1"/>
      <c r="J41" s="1"/>
      <c r="K41" s="1"/>
      <c r="L41" s="1"/>
      <c r="M41" s="1"/>
      <c r="N41" s="1"/>
      <c r="O41" s="1"/>
    </row>
    <row r="42" spans="1:15">
      <c r="A42" s="1"/>
      <c r="B42" s="1"/>
      <c r="C42" s="1"/>
      <c r="D42" s="1"/>
      <c r="E42" s="1"/>
      <c r="F42" s="1"/>
      <c r="G42" s="1"/>
      <c r="H42" s="1"/>
      <c r="I42" s="1"/>
      <c r="J42" s="1"/>
      <c r="K42" s="1"/>
      <c r="L42" s="1"/>
      <c r="M42" s="1"/>
      <c r="N42" s="1"/>
      <c r="O42" s="1"/>
    </row>
    <row r="43" spans="1:15">
      <c r="A43" s="1"/>
      <c r="B43" s="1"/>
      <c r="C43" s="1"/>
      <c r="D43" s="1"/>
      <c r="E43" s="1"/>
      <c r="F43" s="1"/>
      <c r="G43" s="1"/>
      <c r="H43" s="1"/>
      <c r="I43" s="1"/>
      <c r="J43" s="1"/>
      <c r="K43" s="1"/>
      <c r="L43" s="1"/>
      <c r="M43" s="1"/>
      <c r="N43" s="1"/>
      <c r="O43" s="1"/>
    </row>
    <row r="44" spans="1:15">
      <c r="A44" s="1"/>
      <c r="B44" s="1"/>
      <c r="C44" s="1"/>
      <c r="D44" s="1"/>
      <c r="E44" s="1"/>
      <c r="F44" s="1"/>
      <c r="G44" s="1"/>
      <c r="H44" s="1"/>
      <c r="I44" s="1"/>
      <c r="J44" s="1"/>
      <c r="K44" s="1"/>
      <c r="L44" s="1"/>
      <c r="M44" s="1"/>
      <c r="N44" s="1"/>
      <c r="O44" s="1"/>
    </row>
    <row r="45" spans="1:15">
      <c r="A45" s="1"/>
      <c r="B45" s="1"/>
      <c r="C45" s="1"/>
      <c r="D45" s="1"/>
      <c r="E45" s="1"/>
      <c r="F45" s="1"/>
      <c r="G45" s="1"/>
      <c r="H45" s="1"/>
      <c r="I45" s="1"/>
      <c r="J45" s="1"/>
      <c r="K45" s="1"/>
      <c r="L45" s="1"/>
      <c r="M45" s="1"/>
      <c r="N45" s="1"/>
      <c r="O45" s="1"/>
    </row>
    <row r="46" spans="1:15">
      <c r="A46" s="1"/>
      <c r="B46" s="1"/>
      <c r="C46" s="1"/>
      <c r="D46" s="1"/>
      <c r="E46" s="1"/>
      <c r="F46" s="1"/>
      <c r="G46" s="1"/>
      <c r="H46" s="1"/>
      <c r="I46" s="1"/>
      <c r="J46" s="1"/>
      <c r="K46" s="1"/>
      <c r="L46" s="1"/>
      <c r="M46" s="1"/>
      <c r="N46" s="1"/>
      <c r="O46" s="1"/>
    </row>
    <row r="47" spans="1:15">
      <c r="A47" s="1"/>
      <c r="B47" s="1"/>
      <c r="C47" s="1"/>
      <c r="D47" s="1"/>
      <c r="E47" s="1"/>
      <c r="F47" s="1"/>
      <c r="G47" s="1"/>
      <c r="H47" s="1"/>
      <c r="I47" s="1"/>
      <c r="J47" s="1"/>
      <c r="K47" s="1"/>
      <c r="L47" s="1"/>
      <c r="M47" s="1"/>
      <c r="N47" s="1"/>
      <c r="O47" s="1"/>
    </row>
    <row r="48" spans="1:15">
      <c r="A48" s="1"/>
      <c r="B48" s="1"/>
      <c r="C48" s="1"/>
      <c r="D48" s="1"/>
      <c r="E48" s="1"/>
      <c r="F48" s="1"/>
      <c r="G48" s="1"/>
      <c r="H48" s="1"/>
      <c r="I48" s="1"/>
      <c r="J48" s="1"/>
      <c r="K48" s="1"/>
      <c r="L48" s="1"/>
      <c r="M48" s="1"/>
      <c r="N48" s="1"/>
      <c r="O48" s="1"/>
    </row>
    <row r="49" spans="1:15">
      <c r="A49" s="1"/>
      <c r="B49" s="1"/>
      <c r="C49" s="1"/>
      <c r="D49" s="1"/>
      <c r="E49" s="1"/>
      <c r="F49" s="1"/>
      <c r="G49" s="1"/>
      <c r="H49" s="1"/>
      <c r="I49" s="1"/>
      <c r="J49" s="1"/>
      <c r="K49" s="1"/>
      <c r="L49" s="1"/>
      <c r="M49" s="1"/>
      <c r="N49" s="1"/>
      <c r="O49" s="1"/>
    </row>
    <row r="50" spans="1:15">
      <c r="A50" s="1"/>
      <c r="B50" s="1"/>
      <c r="C50" s="1"/>
      <c r="D50" s="1"/>
      <c r="E50" s="1"/>
      <c r="F50" s="1"/>
      <c r="G50" s="1"/>
      <c r="H50" s="1"/>
      <c r="I50" s="1"/>
      <c r="J50" s="1"/>
      <c r="K50" s="1"/>
      <c r="L50" s="1"/>
      <c r="M50" s="1"/>
      <c r="N50" s="1"/>
      <c r="O50" s="1"/>
    </row>
    <row r="51" spans="1:15">
      <c r="A51" s="1"/>
      <c r="B51" s="1"/>
      <c r="C51" s="1"/>
      <c r="D51" s="1"/>
      <c r="E51" s="1"/>
      <c r="F51" s="1"/>
      <c r="G51" s="1"/>
      <c r="H51" s="1"/>
      <c r="I51" s="1"/>
      <c r="J51" s="1"/>
      <c r="K51" s="1"/>
      <c r="L51" s="1"/>
      <c r="M51" s="1"/>
      <c r="N51" s="1"/>
      <c r="O51" s="1"/>
    </row>
    <row r="52" spans="1:15">
      <c r="A52" s="1"/>
      <c r="B52" s="1"/>
      <c r="C52" s="1"/>
      <c r="D52" s="1"/>
      <c r="E52" s="1"/>
      <c r="F52" s="1"/>
      <c r="G52" s="1"/>
      <c r="H52" s="1"/>
      <c r="I52" s="1"/>
      <c r="J52" s="1"/>
      <c r="K52" s="1"/>
      <c r="L52" s="1"/>
      <c r="M52" s="1"/>
      <c r="N52" s="1"/>
      <c r="O52" s="1"/>
    </row>
    <row r="53" spans="1:15">
      <c r="A53" s="1"/>
      <c r="B53" s="1"/>
      <c r="C53" s="1"/>
      <c r="D53" s="1"/>
      <c r="E53" s="1"/>
      <c r="F53" s="1"/>
      <c r="G53" s="1"/>
      <c r="H53" s="1"/>
      <c r="I53" s="1"/>
      <c r="J53" s="1"/>
      <c r="K53" s="1"/>
      <c r="L53" s="1"/>
      <c r="M53" s="1"/>
      <c r="N53" s="1"/>
      <c r="O53" s="1"/>
    </row>
    <row r="54" spans="1:15">
      <c r="A54" s="1"/>
      <c r="B54" s="1"/>
      <c r="C54" s="1"/>
      <c r="D54" s="1"/>
      <c r="E54" s="1"/>
      <c r="F54" s="1"/>
      <c r="G54" s="1"/>
      <c r="H54" s="1"/>
      <c r="I54" s="1"/>
      <c r="J54" s="1"/>
      <c r="K54" s="1"/>
      <c r="L54" s="1"/>
      <c r="M54" s="1"/>
      <c r="N54" s="1"/>
      <c r="O54" s="1"/>
    </row>
    <row r="55" spans="1:15">
      <c r="A55" s="1"/>
      <c r="B55" s="1"/>
      <c r="C55" s="1"/>
      <c r="D55" s="1"/>
      <c r="E55" s="1"/>
      <c r="F55" s="1"/>
      <c r="G55" s="1"/>
      <c r="H55" s="1"/>
      <c r="I55" s="1"/>
      <c r="J55" s="1"/>
      <c r="K55" s="1"/>
      <c r="L55" s="1"/>
      <c r="M55" s="1"/>
      <c r="N55" s="1"/>
      <c r="O55" s="1"/>
    </row>
    <row r="56" spans="1:15">
      <c r="A56" s="1"/>
      <c r="B56" s="1"/>
      <c r="C56" s="1"/>
      <c r="D56" s="1"/>
      <c r="E56" s="1"/>
      <c r="F56" s="1"/>
      <c r="G56" s="1"/>
      <c r="H56" s="1"/>
      <c r="I56" s="1"/>
      <c r="J56" s="1"/>
      <c r="K56" s="1"/>
      <c r="L56" s="1"/>
      <c r="M56" s="1"/>
      <c r="N56" s="1"/>
      <c r="O56" s="1"/>
    </row>
    <row r="57" spans="1:15">
      <c r="A57" s="1"/>
      <c r="B57" s="1"/>
      <c r="C57" s="1"/>
      <c r="D57" s="1"/>
      <c r="E57" s="1"/>
      <c r="F57" s="1"/>
      <c r="G57" s="1"/>
      <c r="H57" s="1"/>
      <c r="I57" s="1"/>
      <c r="J57" s="1"/>
      <c r="K57" s="1"/>
      <c r="L57" s="1"/>
      <c r="M57" s="1"/>
      <c r="N57" s="1"/>
      <c r="O57" s="1"/>
    </row>
    <row r="58" spans="1:15">
      <c r="A58" s="1"/>
      <c r="B58" s="1"/>
      <c r="C58" s="1"/>
      <c r="D58" s="1"/>
      <c r="E58" s="1"/>
      <c r="F58" s="1"/>
      <c r="G58" s="1"/>
      <c r="H58" s="1"/>
      <c r="I58" s="1"/>
      <c r="J58" s="1"/>
      <c r="K58" s="1"/>
      <c r="L58" s="1"/>
      <c r="M58" s="1"/>
      <c r="N58" s="1"/>
      <c r="O58" s="1"/>
    </row>
    <row r="59" spans="1:15">
      <c r="A59" s="1"/>
      <c r="B59" s="1"/>
      <c r="C59" s="1"/>
      <c r="D59" s="1"/>
      <c r="E59" s="1"/>
      <c r="F59" s="1"/>
      <c r="G59" s="1"/>
      <c r="H59" s="1"/>
      <c r="I59" s="1"/>
      <c r="J59" s="1"/>
      <c r="K59" s="1"/>
      <c r="L59" s="1"/>
      <c r="M59" s="1"/>
      <c r="N59" s="1"/>
      <c r="O59" s="1"/>
    </row>
    <row r="60" spans="1:15">
      <c r="A60" s="1"/>
      <c r="B60" s="1"/>
      <c r="C60" s="1"/>
      <c r="D60" s="1"/>
      <c r="E60" s="1"/>
      <c r="F60" s="1"/>
      <c r="G60" s="1"/>
      <c r="H60" s="1"/>
      <c r="I60" s="1"/>
      <c r="J60" s="1"/>
      <c r="K60" s="1"/>
      <c r="L60" s="1"/>
      <c r="M60" s="1"/>
      <c r="N60" s="1"/>
      <c r="O60" s="1"/>
    </row>
    <row r="61" spans="1:15">
      <c r="A61" s="1"/>
      <c r="B61" s="1"/>
      <c r="C61" s="1"/>
      <c r="D61" s="1"/>
      <c r="E61" s="1"/>
      <c r="F61" s="1"/>
      <c r="G61" s="1"/>
      <c r="H61" s="1"/>
      <c r="I61" s="1"/>
      <c r="J61" s="1"/>
      <c r="K61" s="1"/>
      <c r="L61" s="1"/>
      <c r="M61" s="1"/>
      <c r="N61" s="1"/>
      <c r="O61" s="1"/>
    </row>
    <row r="62" spans="1:15">
      <c r="A62" s="1"/>
      <c r="B62" s="1"/>
      <c r="C62" s="1"/>
      <c r="D62" s="1"/>
      <c r="E62" s="1"/>
      <c r="F62" s="1"/>
      <c r="G62" s="1"/>
      <c r="H62" s="1"/>
      <c r="I62" s="1"/>
      <c r="J62" s="1"/>
      <c r="K62" s="1"/>
      <c r="L62" s="1"/>
      <c r="M62" s="1"/>
      <c r="N62" s="1"/>
      <c r="O62" s="1"/>
    </row>
    <row r="63" spans="1:15">
      <c r="A63" s="1"/>
      <c r="B63" s="1"/>
      <c r="C63" s="1"/>
      <c r="D63" s="1"/>
      <c r="E63" s="1"/>
      <c r="F63" s="1"/>
      <c r="G63" s="1"/>
      <c r="H63" s="1"/>
      <c r="I63" s="1"/>
      <c r="J63" s="1"/>
      <c r="K63" s="1"/>
      <c r="L63" s="1"/>
      <c r="M63" s="1"/>
      <c r="N63" s="1"/>
      <c r="O63" s="1"/>
    </row>
    <row r="64" spans="1:15">
      <c r="A64" s="1"/>
      <c r="B64" s="1"/>
      <c r="C64" s="1"/>
      <c r="D64" s="1"/>
      <c r="E64" s="1"/>
      <c r="F64" s="1"/>
      <c r="G64" s="1"/>
      <c r="H64" s="1"/>
      <c r="I64" s="1"/>
      <c r="J64" s="1"/>
      <c r="K64" s="1"/>
      <c r="L64" s="1"/>
      <c r="M64" s="1"/>
      <c r="N64" s="1"/>
      <c r="O64" s="1"/>
    </row>
    <row r="65" spans="1:15">
      <c r="A65" s="1"/>
      <c r="B65" s="1"/>
      <c r="C65" s="1"/>
      <c r="D65" s="1"/>
      <c r="E65" s="1"/>
      <c r="F65" s="1"/>
      <c r="G65" s="1"/>
      <c r="H65" s="1"/>
      <c r="I65" s="1"/>
      <c r="J65" s="1"/>
      <c r="K65" s="1"/>
      <c r="L65" s="1"/>
      <c r="M65" s="1"/>
      <c r="N65" s="1"/>
      <c r="O65" s="1"/>
    </row>
    <row r="66" spans="1:15">
      <c r="A66" s="1"/>
      <c r="B66" s="1"/>
      <c r="C66" s="1"/>
      <c r="D66" s="1"/>
      <c r="E66" s="1"/>
      <c r="F66" s="1"/>
      <c r="G66" s="1"/>
      <c r="H66" s="1"/>
      <c r="I66" s="1"/>
      <c r="J66" s="1"/>
      <c r="K66" s="1"/>
      <c r="L66" s="1"/>
      <c r="M66" s="1"/>
      <c r="N66" s="1"/>
      <c r="O66" s="1"/>
    </row>
    <row r="67" spans="1:15">
      <c r="A67" s="1"/>
      <c r="B67" s="1"/>
      <c r="C67" s="1"/>
      <c r="D67" s="1"/>
      <c r="E67" s="1"/>
      <c r="F67" s="1"/>
      <c r="G67" s="1"/>
      <c r="H67" s="1"/>
      <c r="I67" s="1"/>
      <c r="J67" s="1"/>
      <c r="K67" s="1"/>
      <c r="L67" s="1"/>
      <c r="M67" s="1"/>
      <c r="N67" s="1"/>
      <c r="O67" s="1"/>
    </row>
    <row r="68" spans="1:15">
      <c r="A68" s="1"/>
      <c r="B68" s="1"/>
      <c r="C68" s="1"/>
      <c r="D68" s="1"/>
      <c r="E68" s="1"/>
      <c r="F68" s="1"/>
      <c r="G68" s="1"/>
      <c r="H68" s="1"/>
      <c r="I68" s="1"/>
      <c r="J68" s="1"/>
      <c r="K68" s="1"/>
      <c r="L68" s="1"/>
      <c r="M68" s="1"/>
      <c r="N68" s="1"/>
      <c r="O68" s="1"/>
    </row>
    <row r="69" spans="1:15">
      <c r="A69" s="1"/>
      <c r="B69" s="1"/>
      <c r="C69" s="1"/>
      <c r="D69" s="1"/>
      <c r="E69" s="1"/>
      <c r="F69" s="1"/>
      <c r="G69" s="1"/>
      <c r="H69" s="1"/>
      <c r="I69" s="1"/>
      <c r="J69" s="1"/>
      <c r="K69" s="1"/>
      <c r="L69" s="1"/>
      <c r="M69" s="1"/>
      <c r="N69" s="1"/>
      <c r="O69" s="1"/>
    </row>
    <row r="70" spans="1:15">
      <c r="A70" s="1"/>
      <c r="B70" s="1"/>
      <c r="C70" s="1"/>
      <c r="D70" s="1"/>
      <c r="E70" s="1"/>
      <c r="F70" s="1"/>
      <c r="G70" s="1"/>
      <c r="H70" s="1"/>
      <c r="I70" s="1"/>
      <c r="J70" s="1"/>
      <c r="K70" s="1"/>
      <c r="L70" s="1"/>
      <c r="M70" s="1"/>
      <c r="N70" s="1"/>
      <c r="O70" s="1"/>
    </row>
    <row r="71" spans="1:15">
      <c r="A71" s="1"/>
      <c r="B71" s="1"/>
      <c r="C71" s="1"/>
      <c r="D71" s="1"/>
      <c r="E71" s="1"/>
      <c r="F71" s="1"/>
      <c r="G71" s="1"/>
      <c r="H71" s="1"/>
      <c r="I71" s="1"/>
      <c r="J71" s="1"/>
      <c r="K71" s="1"/>
      <c r="L71" s="1"/>
      <c r="M71" s="1"/>
      <c r="N71" s="1"/>
      <c r="O71" s="1"/>
    </row>
    <row r="72" spans="1:15">
      <c r="A72" s="1"/>
      <c r="B72" s="1"/>
      <c r="C72" s="1"/>
      <c r="D72" s="1"/>
      <c r="E72" s="1"/>
      <c r="F72" s="1"/>
      <c r="G72" s="1"/>
      <c r="H72" s="1"/>
      <c r="I72" s="1"/>
      <c r="J72" s="1"/>
      <c r="K72" s="1"/>
      <c r="L72" s="1"/>
      <c r="M72" s="1"/>
      <c r="N72" s="1"/>
      <c r="O72" s="1"/>
    </row>
    <row r="73" spans="1:15">
      <c r="A73" s="1"/>
      <c r="B73" s="1"/>
      <c r="C73" s="1"/>
      <c r="D73" s="1"/>
      <c r="E73" s="1"/>
      <c r="F73" s="1"/>
      <c r="G73" s="1"/>
      <c r="H73" s="1"/>
      <c r="I73" s="1"/>
      <c r="J73" s="1"/>
      <c r="K73" s="1"/>
      <c r="L73" s="1"/>
      <c r="M73" s="1"/>
      <c r="N73" s="1"/>
      <c r="O73" s="1"/>
    </row>
    <row r="74" spans="1:15">
      <c r="A74" s="1"/>
      <c r="B74" s="1"/>
      <c r="C74" s="1"/>
      <c r="D74" s="1"/>
      <c r="E74" s="1"/>
      <c r="F74" s="1"/>
      <c r="G74" s="1"/>
      <c r="H74" s="1"/>
      <c r="I74" s="1"/>
      <c r="J74" s="1"/>
      <c r="K74" s="1"/>
      <c r="L74" s="1"/>
      <c r="M74" s="1"/>
      <c r="N74" s="1"/>
      <c r="O74" s="1"/>
    </row>
    <row r="75" spans="1:15">
      <c r="A75" s="1"/>
      <c r="B75" s="1"/>
      <c r="C75" s="1"/>
      <c r="D75" s="1"/>
      <c r="E75" s="1"/>
      <c r="F75" s="1"/>
      <c r="G75" s="1"/>
      <c r="H75" s="1"/>
      <c r="I75" s="1"/>
      <c r="J75" s="1"/>
      <c r="K75" s="1"/>
      <c r="L75" s="1"/>
      <c r="M75" s="1"/>
      <c r="N75" s="1"/>
      <c r="O75" s="1"/>
    </row>
    <row r="76" spans="1:15">
      <c r="A76" s="1"/>
      <c r="B76" s="1"/>
      <c r="C76" s="1"/>
      <c r="D76" s="1"/>
      <c r="E76" s="1"/>
      <c r="F76" s="1"/>
      <c r="G76" s="1"/>
      <c r="H76" s="1"/>
      <c r="I76" s="1"/>
      <c r="J76" s="1"/>
      <c r="K76" s="1"/>
      <c r="L76" s="1"/>
      <c r="M76" s="1"/>
      <c r="N76" s="1"/>
      <c r="O76" s="1"/>
    </row>
    <row r="77" spans="1:15">
      <c r="A77" s="1"/>
      <c r="B77" s="1"/>
      <c r="C77" s="1"/>
      <c r="D77" s="1"/>
      <c r="E77" s="1"/>
      <c r="F77" s="1"/>
      <c r="G77" s="1"/>
      <c r="H77" s="1"/>
      <c r="I77" s="1"/>
      <c r="J77" s="1"/>
      <c r="K77" s="1"/>
      <c r="L77" s="1"/>
      <c r="M77" s="1"/>
      <c r="N77" s="1"/>
      <c r="O77" s="1"/>
    </row>
    <row r="78" spans="1:15">
      <c r="A78" s="1"/>
      <c r="B78" s="1"/>
      <c r="C78" s="1"/>
      <c r="D78" s="1"/>
      <c r="E78" s="1"/>
      <c r="F78" s="1"/>
      <c r="G78" s="1"/>
      <c r="H78" s="1"/>
      <c r="I78" s="1"/>
      <c r="J78" s="1"/>
      <c r="K78" s="1"/>
      <c r="L78" s="1"/>
      <c r="M78" s="1"/>
      <c r="N78" s="1"/>
      <c r="O78" s="1"/>
    </row>
    <row r="79" spans="1:15">
      <c r="A79" s="1"/>
      <c r="B79" s="1"/>
      <c r="C79" s="1"/>
      <c r="D79" s="1"/>
      <c r="E79" s="1"/>
      <c r="F79" s="1"/>
      <c r="G79" s="1"/>
      <c r="H79" s="1"/>
      <c r="I79" s="1"/>
      <c r="J79" s="1"/>
      <c r="K79" s="1"/>
      <c r="L79" s="1"/>
      <c r="M79" s="1"/>
      <c r="N79" s="1"/>
      <c r="O79" s="1"/>
    </row>
    <row r="80" spans="1:15">
      <c r="A80" s="1"/>
      <c r="B80" s="1"/>
      <c r="C80" s="1"/>
      <c r="D80" s="1"/>
      <c r="E80" s="1"/>
      <c r="F80" s="1"/>
      <c r="G80" s="1"/>
      <c r="H80" s="1"/>
      <c r="I80" s="1"/>
      <c r="J80" s="1"/>
      <c r="K80" s="1"/>
      <c r="L80" s="1"/>
      <c r="M80" s="1"/>
      <c r="N80" s="1"/>
      <c r="O80" s="1"/>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0"/>
  <sheetViews>
    <sheetView zoomScale="87" workbookViewId="0">
      <selection activeCell="B18" sqref="B18"/>
    </sheetView>
  </sheetViews>
  <sheetFormatPr defaultRowHeight="14"/>
  <cols>
    <col min="1" max="1" width="34" customWidth="1"/>
    <col min="2" max="5" width="17" customWidth="1"/>
  </cols>
  <sheetData>
    <row r="1" spans="1:15" ht="18.649999999999999" customHeight="1">
      <c r="A1" s="28" t="s">
        <v>37</v>
      </c>
      <c r="B1" s="28"/>
      <c r="C1" s="28"/>
      <c r="D1" s="28"/>
      <c r="E1" s="28"/>
      <c r="F1" s="1"/>
      <c r="G1" s="1"/>
      <c r="H1" s="1"/>
      <c r="I1" s="1"/>
      <c r="J1" s="1"/>
      <c r="K1" s="1"/>
      <c r="L1" s="1"/>
      <c r="M1" s="1"/>
      <c r="N1" s="1"/>
      <c r="O1" s="1"/>
    </row>
    <row r="2" spans="1:15">
      <c r="A2" s="1"/>
      <c r="B2" s="1"/>
      <c r="C2" s="1"/>
      <c r="D2" s="1"/>
      <c r="E2" s="1"/>
      <c r="F2" s="1"/>
      <c r="G2" s="1"/>
      <c r="H2" s="1"/>
      <c r="I2" s="1"/>
      <c r="J2" s="1"/>
      <c r="K2" s="1"/>
      <c r="L2" s="1"/>
      <c r="M2" s="1"/>
      <c r="N2" s="1"/>
      <c r="O2" s="1"/>
    </row>
    <row r="3" spans="1:15">
      <c r="A3" s="2" t="s">
        <v>19</v>
      </c>
      <c r="B3" s="2" t="s">
        <v>2</v>
      </c>
      <c r="C3" s="2" t="s">
        <v>3</v>
      </c>
      <c r="D3" s="2" t="s">
        <v>4</v>
      </c>
      <c r="E3" s="2" t="s">
        <v>5</v>
      </c>
      <c r="F3" s="1"/>
      <c r="G3" s="1"/>
      <c r="H3" s="1"/>
      <c r="I3" s="1"/>
      <c r="J3" s="1"/>
      <c r="K3" s="1"/>
      <c r="L3" s="1"/>
      <c r="M3" s="1"/>
      <c r="N3" s="1"/>
      <c r="O3" s="1"/>
    </row>
    <row r="4" spans="1:15">
      <c r="A4" s="3" t="s">
        <v>20</v>
      </c>
      <c r="B4" s="31">
        <f>Inputs!B9</f>
        <v>28.15</v>
      </c>
      <c r="C4" s="31">
        <f>Inputs!B10</f>
        <v>275.01</v>
      </c>
      <c r="D4" s="31">
        <f>Inputs!B11</f>
        <v>58.24</v>
      </c>
      <c r="E4" s="31">
        <f>Inputs!B12</f>
        <v>133.09</v>
      </c>
      <c r="F4" s="1"/>
      <c r="G4" s="1"/>
      <c r="H4" s="1"/>
      <c r="I4" s="1"/>
      <c r="J4" s="1"/>
      <c r="K4" s="1"/>
      <c r="L4" s="1"/>
      <c r="M4" s="1"/>
      <c r="N4" s="1"/>
      <c r="O4" s="1"/>
    </row>
    <row r="5" spans="1:15">
      <c r="A5" s="3" t="s">
        <v>21</v>
      </c>
      <c r="B5" s="32">
        <f>Inputs!E9</f>
        <v>735.71134200000006</v>
      </c>
      <c r="C5" s="32">
        <f>Inputs!E10</f>
        <v>540.52299999999991</v>
      </c>
      <c r="D5" s="32">
        <f>Inputs!E11</f>
        <v>904.434484</v>
      </c>
      <c r="E5" s="32">
        <f>Inputs!E12</f>
        <v>192.584666</v>
      </c>
      <c r="F5" s="1"/>
      <c r="G5" s="1"/>
      <c r="H5" s="1"/>
      <c r="I5" s="1"/>
      <c r="J5" s="1"/>
      <c r="K5" s="1"/>
      <c r="L5" s="1"/>
      <c r="M5" s="1"/>
      <c r="N5" s="1"/>
      <c r="O5" s="1"/>
    </row>
    <row r="6" spans="1:15">
      <c r="A6" s="3" t="s">
        <v>22</v>
      </c>
      <c r="B6" s="33">
        <f>B4*B5</f>
        <v>20710.274277299999</v>
      </c>
      <c r="C6" s="33">
        <f>C4*C5</f>
        <v>148649.23022999996</v>
      </c>
      <c r="D6" s="33">
        <f>D4*D5</f>
        <v>52674.264348160003</v>
      </c>
      <c r="E6" s="33">
        <f>E4*E5</f>
        <v>25631.093197940001</v>
      </c>
      <c r="F6" s="1"/>
      <c r="G6" s="1"/>
      <c r="H6" s="1"/>
      <c r="I6" s="1"/>
      <c r="J6" s="1"/>
      <c r="K6" s="1"/>
      <c r="L6" s="1"/>
      <c r="M6" s="1"/>
      <c r="N6" s="1"/>
      <c r="O6" s="1"/>
    </row>
    <row r="7" spans="1:15">
      <c r="A7" s="3" t="s">
        <v>38</v>
      </c>
      <c r="B7" s="40">
        <f>Inputs!M9</f>
        <v>-0.61539999999999995</v>
      </c>
      <c r="C7" s="34">
        <f>Inputs!M10</f>
        <v>14.316000000000001</v>
      </c>
      <c r="D7" s="34">
        <f>Inputs!M11</f>
        <v>2.681</v>
      </c>
      <c r="E7" s="34">
        <f>Inputs!M12</f>
        <v>7.6890000000000001</v>
      </c>
      <c r="F7" s="1"/>
      <c r="G7" s="1"/>
      <c r="H7" s="1"/>
      <c r="I7" s="1"/>
      <c r="J7" s="1"/>
      <c r="K7" s="1"/>
      <c r="L7" s="1"/>
      <c r="M7" s="1"/>
      <c r="N7" s="1"/>
      <c r="O7" s="1"/>
    </row>
    <row r="8" spans="1:15">
      <c r="A8" s="17" t="s">
        <v>39</v>
      </c>
      <c r="B8" s="35"/>
      <c r="C8" s="36">
        <f>C4/C7</f>
        <v>19.209974853310978</v>
      </c>
      <c r="D8" s="36">
        <f>D4/D7</f>
        <v>21.723237597911229</v>
      </c>
      <c r="E8" s="36">
        <f>E4/E7</f>
        <v>17.309142931460528</v>
      </c>
      <c r="F8" s="1"/>
      <c r="G8" s="1"/>
      <c r="H8" s="1"/>
      <c r="I8" s="1"/>
      <c r="J8" s="1"/>
      <c r="K8" s="1"/>
      <c r="L8" s="1"/>
      <c r="M8" s="1"/>
      <c r="N8" s="1"/>
      <c r="O8" s="1"/>
    </row>
    <row r="9" spans="1:15">
      <c r="A9" s="17" t="s">
        <v>40</v>
      </c>
      <c r="B9" s="35"/>
      <c r="C9" s="36">
        <f>AVERAGE(D8,E8)</f>
        <v>19.516190264685878</v>
      </c>
      <c r="D9" s="36">
        <f>AVERAGE(C8,E8)</f>
        <v>18.259558892385755</v>
      </c>
      <c r="E9" s="36">
        <f>AVERAGE(C8,D8)</f>
        <v>20.466606225611102</v>
      </c>
      <c r="F9" s="1"/>
      <c r="G9" s="1"/>
      <c r="H9" s="1"/>
      <c r="I9" s="1"/>
      <c r="J9" s="1"/>
      <c r="K9" s="1"/>
      <c r="L9" s="1"/>
      <c r="M9" s="1"/>
      <c r="N9" s="1"/>
      <c r="O9" s="1"/>
    </row>
    <row r="10" spans="1:15">
      <c r="A10" s="17" t="s">
        <v>41</v>
      </c>
      <c r="B10" s="37"/>
      <c r="C10" s="38">
        <f>C9*C7</f>
        <v>279.39377982924304</v>
      </c>
      <c r="D10" s="38">
        <f>D9*D7</f>
        <v>48.953877390486213</v>
      </c>
      <c r="E10" s="38">
        <f>E9*E7</f>
        <v>157.36773526872378</v>
      </c>
      <c r="F10" s="1"/>
      <c r="G10" s="1"/>
      <c r="H10" s="1"/>
      <c r="I10" s="1"/>
      <c r="J10" s="1"/>
      <c r="K10" s="1"/>
      <c r="L10" s="1"/>
      <c r="M10" s="1"/>
      <c r="N10" s="1"/>
      <c r="O10" s="1"/>
    </row>
    <row r="11" spans="1:15">
      <c r="A11" s="3"/>
      <c r="B11" s="39"/>
      <c r="C11" s="39"/>
      <c r="D11" s="39"/>
      <c r="E11" s="39"/>
      <c r="F11" s="1"/>
      <c r="G11" s="1"/>
      <c r="H11" s="1"/>
      <c r="I11" s="1"/>
      <c r="J11" s="1"/>
      <c r="K11" s="1"/>
      <c r="L11" s="1"/>
      <c r="M11" s="1"/>
      <c r="N11" s="1"/>
      <c r="O11" s="1"/>
    </row>
    <row r="12" spans="1:15">
      <c r="A12" s="3" t="s">
        <v>42</v>
      </c>
      <c r="B12" s="33">
        <f>Inputs!F9</f>
        <v>122124</v>
      </c>
      <c r="C12" s="33">
        <f>Inputs!F10</f>
        <v>256682</v>
      </c>
      <c r="D12" s="33">
        <f>Inputs!F11</f>
        <v>80243</v>
      </c>
      <c r="E12" s="33">
        <f>Inputs!F12</f>
        <v>131457.70000000001</v>
      </c>
      <c r="F12" s="1"/>
      <c r="G12" s="1"/>
      <c r="H12" s="1"/>
      <c r="I12" s="1"/>
      <c r="J12" s="1"/>
      <c r="K12" s="1"/>
      <c r="L12" s="1"/>
      <c r="M12" s="1"/>
      <c r="N12" s="1"/>
      <c r="O12" s="1"/>
    </row>
    <row r="13" spans="1:15">
      <c r="A13" s="17" t="s">
        <v>43</v>
      </c>
      <c r="B13" s="36">
        <f>B6/B12</f>
        <v>0.16958398248747175</v>
      </c>
      <c r="C13" s="36">
        <f>C6/C12</f>
        <v>0.57911824837736947</v>
      </c>
      <c r="D13" s="36">
        <f>D6/D12</f>
        <v>0.65643438490784245</v>
      </c>
      <c r="E13" s="36">
        <f>E6/E12</f>
        <v>0.19497597476557096</v>
      </c>
      <c r="F13" s="1"/>
      <c r="G13" s="1"/>
      <c r="H13" s="1"/>
      <c r="I13" s="1"/>
      <c r="J13" s="1"/>
      <c r="K13" s="1"/>
      <c r="L13" s="1"/>
      <c r="M13" s="1"/>
      <c r="N13" s="1"/>
      <c r="O13" s="1"/>
    </row>
    <row r="14" spans="1:15">
      <c r="A14" s="17" t="s">
        <v>44</v>
      </c>
      <c r="B14" s="36">
        <f>AVERAGE(C13:E13)</f>
        <v>0.47684286935026104</v>
      </c>
      <c r="C14" s="35"/>
      <c r="D14" s="35"/>
      <c r="E14" s="35"/>
      <c r="F14" s="1"/>
      <c r="G14" s="1"/>
      <c r="H14" s="1"/>
      <c r="I14" s="1"/>
      <c r="J14" s="1"/>
      <c r="K14" s="1"/>
      <c r="L14" s="1"/>
      <c r="M14" s="1"/>
      <c r="N14" s="1"/>
      <c r="O14" s="1"/>
    </row>
    <row r="15" spans="1:15">
      <c r="A15" s="17" t="s">
        <v>45</v>
      </c>
      <c r="B15" s="18">
        <f>B12*B14</f>
        <v>58233.95857653128</v>
      </c>
      <c r="C15" s="19"/>
      <c r="D15" s="19"/>
      <c r="E15" s="19"/>
      <c r="F15" s="1"/>
      <c r="G15" s="1"/>
      <c r="H15" s="1"/>
      <c r="I15" s="1"/>
      <c r="J15" s="1"/>
      <c r="K15" s="1"/>
      <c r="L15" s="1"/>
      <c r="M15" s="1"/>
      <c r="N15" s="1"/>
      <c r="O15" s="1"/>
    </row>
    <row r="16" spans="1:15">
      <c r="A16" s="17" t="s">
        <v>46</v>
      </c>
      <c r="B16" s="25">
        <f>B15/B5</f>
        <v>79.153270110291814</v>
      </c>
      <c r="C16" s="24"/>
      <c r="D16" s="24"/>
      <c r="E16" s="24"/>
      <c r="F16" s="1"/>
      <c r="G16" s="1"/>
      <c r="H16" s="1"/>
      <c r="I16" s="1"/>
      <c r="J16" s="1"/>
      <c r="K16" s="1"/>
      <c r="L16" s="1"/>
      <c r="M16" s="1"/>
      <c r="N16" s="1"/>
      <c r="O16" s="1"/>
    </row>
    <row r="17" spans="1:15">
      <c r="A17" s="3"/>
      <c r="B17" s="3"/>
      <c r="C17" s="3"/>
      <c r="D17" s="3"/>
      <c r="E17" s="3"/>
      <c r="F17" s="1"/>
      <c r="G17" s="1"/>
      <c r="H17" s="1"/>
      <c r="I17" s="1"/>
      <c r="J17" s="1"/>
      <c r="K17" s="1"/>
      <c r="L17" s="1"/>
      <c r="M17" s="1"/>
      <c r="N17" s="1"/>
      <c r="O17" s="1"/>
    </row>
    <row r="18" spans="1:15">
      <c r="A18" s="20" t="s">
        <v>47</v>
      </c>
      <c r="B18" s="20" t="s">
        <v>48</v>
      </c>
      <c r="C18" s="20" t="s">
        <v>49</v>
      </c>
      <c r="D18" s="20" t="s">
        <v>49</v>
      </c>
      <c r="E18" s="20" t="s">
        <v>49</v>
      </c>
      <c r="F18" s="1"/>
      <c r="G18" s="1"/>
      <c r="H18" s="1"/>
      <c r="I18" s="1"/>
      <c r="J18" s="1"/>
      <c r="K18" s="1"/>
      <c r="L18" s="1"/>
      <c r="M18" s="1"/>
      <c r="N18" s="1"/>
      <c r="O18" s="1"/>
    </row>
    <row r="19" spans="1:15">
      <c r="A19" s="20" t="s">
        <v>50</v>
      </c>
      <c r="B19" s="23">
        <f>B16</f>
        <v>79.153270110291814</v>
      </c>
      <c r="C19" s="23">
        <f>C10</f>
        <v>279.39377982924304</v>
      </c>
      <c r="D19" s="23">
        <f>D10</f>
        <v>48.953877390486213</v>
      </c>
      <c r="E19" s="23">
        <f>E10</f>
        <v>157.36773526872378</v>
      </c>
      <c r="F19" s="1"/>
      <c r="G19" s="1"/>
      <c r="H19" s="1"/>
      <c r="I19" s="1"/>
      <c r="J19" s="1"/>
      <c r="K19" s="1"/>
      <c r="L19" s="1"/>
      <c r="M19" s="1"/>
      <c r="N19" s="1"/>
      <c r="O19" s="1"/>
    </row>
    <row r="20" spans="1:15">
      <c r="A20" s="1"/>
      <c r="B20" s="1"/>
      <c r="C20" s="1"/>
      <c r="D20" s="1"/>
      <c r="E20" s="1"/>
      <c r="F20" s="1"/>
      <c r="G20" s="1"/>
      <c r="H20" s="1"/>
      <c r="I20" s="1"/>
      <c r="J20" s="1"/>
      <c r="K20" s="1"/>
      <c r="L20" s="1"/>
      <c r="M20" s="1"/>
      <c r="N20" s="1"/>
      <c r="O20" s="1"/>
    </row>
    <row r="21" spans="1:15">
      <c r="A21" s="1"/>
      <c r="B21" s="1"/>
      <c r="C21" s="1"/>
      <c r="D21" s="1"/>
      <c r="E21" s="1"/>
      <c r="F21" s="1"/>
      <c r="G21" s="1"/>
      <c r="H21" s="1"/>
      <c r="I21" s="1"/>
      <c r="J21" s="1"/>
      <c r="K21" s="1"/>
      <c r="L21" s="1"/>
      <c r="M21" s="1"/>
      <c r="N21" s="1"/>
      <c r="O21" s="1"/>
    </row>
    <row r="22" spans="1:15">
      <c r="A22" s="1"/>
      <c r="B22" s="1"/>
      <c r="C22" s="1"/>
      <c r="D22" s="1"/>
      <c r="E22" s="1"/>
      <c r="F22" s="1"/>
      <c r="G22" s="1"/>
      <c r="H22" s="1"/>
      <c r="I22" s="1"/>
      <c r="J22" s="1"/>
      <c r="K22" s="1"/>
      <c r="L22" s="1"/>
      <c r="M22" s="1"/>
      <c r="N22" s="1"/>
      <c r="O22" s="1"/>
    </row>
    <row r="23" spans="1:15">
      <c r="A23" s="1"/>
      <c r="B23" s="1"/>
      <c r="C23" s="1"/>
      <c r="D23" s="1"/>
      <c r="E23" s="1"/>
      <c r="F23" s="1"/>
      <c r="G23" s="1"/>
      <c r="H23" s="1"/>
      <c r="I23" s="1"/>
      <c r="J23" s="1"/>
      <c r="K23" s="1"/>
      <c r="L23" s="1"/>
      <c r="M23" s="1"/>
      <c r="N23" s="1"/>
      <c r="O23" s="1"/>
    </row>
    <row r="24" spans="1:15">
      <c r="A24" s="1"/>
      <c r="B24" s="1"/>
      <c r="C24" s="1"/>
      <c r="D24" s="1"/>
      <c r="E24" s="1"/>
      <c r="F24" s="1"/>
      <c r="G24" s="1"/>
      <c r="H24" s="1"/>
      <c r="I24" s="1"/>
      <c r="J24" s="1"/>
      <c r="K24" s="1"/>
      <c r="L24" s="1"/>
      <c r="M24" s="1"/>
      <c r="N24" s="1"/>
      <c r="O24" s="1"/>
    </row>
    <row r="25" spans="1:15">
      <c r="A25" s="1"/>
      <c r="B25" s="1"/>
      <c r="C25" s="1"/>
      <c r="D25" s="1"/>
      <c r="E25" s="1"/>
      <c r="F25" s="1"/>
      <c r="G25" s="1"/>
      <c r="H25" s="1"/>
      <c r="I25" s="1"/>
      <c r="J25" s="1"/>
      <c r="K25" s="1"/>
      <c r="L25" s="1"/>
      <c r="M25" s="1"/>
      <c r="N25" s="1"/>
      <c r="O25" s="1"/>
    </row>
    <row r="26" spans="1:15">
      <c r="A26" s="1"/>
      <c r="B26" s="1"/>
      <c r="C26" s="1"/>
      <c r="D26" s="1"/>
      <c r="E26" s="1"/>
      <c r="F26" s="1"/>
      <c r="G26" s="1"/>
      <c r="H26" s="1"/>
      <c r="I26" s="1"/>
      <c r="J26" s="1"/>
      <c r="K26" s="1"/>
      <c r="L26" s="1"/>
      <c r="M26" s="1"/>
      <c r="N26" s="1"/>
      <c r="O26" s="1"/>
    </row>
    <row r="27" spans="1:15">
      <c r="A27" s="1"/>
      <c r="B27" s="1"/>
      <c r="C27" s="1"/>
      <c r="D27" s="1"/>
      <c r="E27" s="1"/>
      <c r="F27" s="1"/>
      <c r="G27" s="1"/>
      <c r="H27" s="1"/>
      <c r="I27" s="1"/>
      <c r="J27" s="1"/>
      <c r="K27" s="1"/>
      <c r="L27" s="1"/>
      <c r="M27" s="1"/>
      <c r="N27" s="1"/>
      <c r="O27" s="1"/>
    </row>
    <row r="28" spans="1:15">
      <c r="A28" s="1"/>
      <c r="B28" s="1"/>
      <c r="C28" s="1"/>
      <c r="D28" s="1"/>
      <c r="E28" s="1"/>
      <c r="F28" s="1"/>
      <c r="G28" s="1"/>
      <c r="H28" s="1"/>
      <c r="I28" s="1"/>
      <c r="J28" s="1"/>
      <c r="K28" s="1"/>
      <c r="L28" s="1"/>
      <c r="M28" s="1"/>
      <c r="N28" s="1"/>
      <c r="O28" s="1"/>
    </row>
    <row r="29" spans="1:15">
      <c r="A29" s="1"/>
      <c r="B29" s="1"/>
      <c r="C29" s="1"/>
      <c r="D29" s="1"/>
      <c r="E29" s="1"/>
      <c r="F29" s="1"/>
      <c r="G29" s="1"/>
      <c r="H29" s="1"/>
      <c r="I29" s="1"/>
      <c r="J29" s="1"/>
      <c r="K29" s="1"/>
      <c r="L29" s="1"/>
      <c r="M29" s="1"/>
      <c r="N29" s="1"/>
      <c r="O29" s="1"/>
    </row>
    <row r="30" spans="1:15">
      <c r="A30" s="1"/>
      <c r="B30" s="1"/>
      <c r="C30" s="1"/>
      <c r="D30" s="1"/>
      <c r="E30" s="1"/>
      <c r="F30" s="1"/>
      <c r="G30" s="1"/>
      <c r="H30" s="1"/>
      <c r="I30" s="1"/>
      <c r="J30" s="1"/>
      <c r="K30" s="1"/>
      <c r="L30" s="1"/>
      <c r="M30" s="1"/>
      <c r="N30" s="1"/>
      <c r="O30" s="1"/>
    </row>
    <row r="31" spans="1:15">
      <c r="A31" s="1"/>
      <c r="B31" s="1"/>
      <c r="C31" s="1"/>
      <c r="D31" s="1"/>
      <c r="E31" s="1"/>
      <c r="F31" s="1"/>
      <c r="G31" s="1"/>
      <c r="H31" s="1"/>
      <c r="I31" s="1"/>
      <c r="J31" s="1"/>
      <c r="K31" s="1"/>
      <c r="L31" s="1"/>
      <c r="M31" s="1"/>
      <c r="N31" s="1"/>
      <c r="O31" s="1"/>
    </row>
    <row r="32" spans="1:15">
      <c r="A32" s="1"/>
      <c r="B32" s="1"/>
      <c r="C32" s="1"/>
      <c r="D32" s="1"/>
      <c r="E32" s="1"/>
      <c r="F32" s="1"/>
      <c r="G32" s="1"/>
      <c r="H32" s="1"/>
      <c r="I32" s="1"/>
      <c r="J32" s="1"/>
      <c r="K32" s="1"/>
      <c r="L32" s="1"/>
      <c r="M32" s="1"/>
      <c r="N32" s="1"/>
      <c r="O32" s="1"/>
    </row>
    <row r="33" spans="1:15">
      <c r="A33" s="1"/>
      <c r="B33" s="1"/>
      <c r="C33" s="1"/>
      <c r="D33" s="1"/>
      <c r="E33" s="1"/>
      <c r="F33" s="1"/>
      <c r="G33" s="1"/>
      <c r="H33" s="1"/>
      <c r="I33" s="1"/>
      <c r="J33" s="1"/>
      <c r="K33" s="1"/>
      <c r="L33" s="1"/>
      <c r="M33" s="1"/>
      <c r="N33" s="1"/>
      <c r="O33" s="1"/>
    </row>
    <row r="34" spans="1:15">
      <c r="A34" s="1"/>
      <c r="B34" s="1"/>
      <c r="C34" s="1"/>
      <c r="D34" s="1"/>
      <c r="E34" s="1"/>
      <c r="F34" s="1"/>
      <c r="G34" s="1"/>
      <c r="H34" s="1"/>
      <c r="I34" s="1"/>
      <c r="J34" s="1"/>
      <c r="K34" s="1"/>
      <c r="L34" s="1"/>
      <c r="M34" s="1"/>
      <c r="N34" s="1"/>
      <c r="O34" s="1"/>
    </row>
    <row r="35" spans="1:15">
      <c r="A35" s="1"/>
      <c r="B35" s="1"/>
      <c r="C35" s="1"/>
      <c r="D35" s="1"/>
      <c r="E35" s="1"/>
      <c r="F35" s="1"/>
      <c r="G35" s="1"/>
      <c r="H35" s="1"/>
      <c r="I35" s="1"/>
      <c r="J35" s="1"/>
      <c r="K35" s="1"/>
      <c r="L35" s="1"/>
      <c r="M35" s="1"/>
      <c r="N35" s="1"/>
      <c r="O35" s="1"/>
    </row>
    <row r="36" spans="1:15">
      <c r="A36" s="1"/>
      <c r="B36" s="1"/>
      <c r="C36" s="1"/>
      <c r="D36" s="1"/>
      <c r="E36" s="1"/>
      <c r="F36" s="1"/>
      <c r="G36" s="1"/>
      <c r="H36" s="1"/>
      <c r="I36" s="1"/>
      <c r="J36" s="1"/>
      <c r="K36" s="1"/>
      <c r="L36" s="1"/>
      <c r="M36" s="1"/>
      <c r="N36" s="1"/>
      <c r="O36" s="1"/>
    </row>
    <row r="37" spans="1:15">
      <c r="A37" s="1"/>
      <c r="B37" s="1"/>
      <c r="C37" s="1"/>
      <c r="D37" s="1"/>
      <c r="E37" s="1"/>
      <c r="F37" s="1"/>
      <c r="G37" s="1"/>
      <c r="H37" s="1"/>
      <c r="I37" s="1"/>
      <c r="J37" s="1"/>
      <c r="K37" s="1"/>
      <c r="L37" s="1"/>
      <c r="M37" s="1"/>
      <c r="N37" s="1"/>
      <c r="O37" s="1"/>
    </row>
    <row r="38" spans="1:15">
      <c r="A38" s="1"/>
      <c r="B38" s="1"/>
      <c r="C38" s="1"/>
      <c r="D38" s="1"/>
      <c r="E38" s="1"/>
      <c r="F38" s="1"/>
      <c r="G38" s="1"/>
      <c r="H38" s="1"/>
      <c r="I38" s="1"/>
      <c r="J38" s="1"/>
      <c r="K38" s="1"/>
      <c r="L38" s="1"/>
      <c r="M38" s="1"/>
      <c r="N38" s="1"/>
      <c r="O38" s="1"/>
    </row>
    <row r="39" spans="1:15">
      <c r="A39" s="1"/>
      <c r="B39" s="1"/>
      <c r="C39" s="1"/>
      <c r="D39" s="1"/>
      <c r="E39" s="1"/>
      <c r="F39" s="1"/>
      <c r="G39" s="1"/>
      <c r="H39" s="1"/>
      <c r="I39" s="1"/>
      <c r="J39" s="1"/>
      <c r="K39" s="1"/>
      <c r="L39" s="1"/>
      <c r="M39" s="1"/>
      <c r="N39" s="1"/>
      <c r="O39" s="1"/>
    </row>
    <row r="40" spans="1:15">
      <c r="A40" s="1"/>
      <c r="B40" s="1"/>
      <c r="C40" s="1"/>
      <c r="D40" s="1"/>
      <c r="E40" s="1"/>
      <c r="F40" s="1"/>
      <c r="G40" s="1"/>
      <c r="H40" s="1"/>
      <c r="I40" s="1"/>
      <c r="J40" s="1"/>
      <c r="K40" s="1"/>
      <c r="L40" s="1"/>
      <c r="M40" s="1"/>
      <c r="N40" s="1"/>
      <c r="O40" s="1"/>
    </row>
    <row r="41" spans="1:15">
      <c r="A41" s="1"/>
      <c r="B41" s="1"/>
      <c r="C41" s="1"/>
      <c r="D41" s="1"/>
      <c r="E41" s="1"/>
      <c r="F41" s="1"/>
      <c r="G41" s="1"/>
      <c r="H41" s="1"/>
      <c r="I41" s="1"/>
      <c r="J41" s="1"/>
      <c r="K41" s="1"/>
      <c r="L41" s="1"/>
      <c r="M41" s="1"/>
      <c r="N41" s="1"/>
      <c r="O41" s="1"/>
    </row>
    <row r="42" spans="1:15">
      <c r="A42" s="1"/>
      <c r="B42" s="1"/>
      <c r="C42" s="1"/>
      <c r="D42" s="1"/>
      <c r="E42" s="1"/>
      <c r="F42" s="1"/>
      <c r="G42" s="1"/>
      <c r="H42" s="1"/>
      <c r="I42" s="1"/>
      <c r="J42" s="1"/>
      <c r="K42" s="1"/>
      <c r="L42" s="1"/>
      <c r="M42" s="1"/>
      <c r="N42" s="1"/>
      <c r="O42" s="1"/>
    </row>
    <row r="43" spans="1:15">
      <c r="A43" s="1"/>
      <c r="B43" s="1"/>
      <c r="C43" s="1"/>
      <c r="D43" s="1"/>
      <c r="E43" s="1"/>
      <c r="F43" s="1"/>
      <c r="G43" s="1"/>
      <c r="H43" s="1"/>
      <c r="I43" s="1"/>
      <c r="J43" s="1"/>
      <c r="K43" s="1"/>
      <c r="L43" s="1"/>
      <c r="M43" s="1"/>
      <c r="N43" s="1"/>
      <c r="O43" s="1"/>
    </row>
    <row r="44" spans="1:15">
      <c r="A44" s="1"/>
      <c r="B44" s="1"/>
      <c r="C44" s="1"/>
      <c r="D44" s="1"/>
      <c r="E44" s="1"/>
      <c r="F44" s="1"/>
      <c r="G44" s="1"/>
      <c r="H44" s="1"/>
      <c r="I44" s="1"/>
      <c r="J44" s="1"/>
      <c r="K44" s="1"/>
      <c r="L44" s="1"/>
      <c r="M44" s="1"/>
      <c r="N44" s="1"/>
      <c r="O44" s="1"/>
    </row>
    <row r="45" spans="1:15">
      <c r="A45" s="1"/>
      <c r="B45" s="1"/>
      <c r="C45" s="1"/>
      <c r="D45" s="1"/>
      <c r="E45" s="1"/>
      <c r="F45" s="1"/>
      <c r="G45" s="1"/>
      <c r="H45" s="1"/>
      <c r="I45" s="1"/>
      <c r="J45" s="1"/>
      <c r="K45" s="1"/>
      <c r="L45" s="1"/>
      <c r="M45" s="1"/>
      <c r="N45" s="1"/>
      <c r="O45" s="1"/>
    </row>
    <row r="46" spans="1:15">
      <c r="A46" s="1"/>
      <c r="B46" s="1"/>
      <c r="C46" s="1"/>
      <c r="D46" s="1"/>
      <c r="E46" s="1"/>
      <c r="F46" s="1"/>
      <c r="G46" s="1"/>
      <c r="H46" s="1"/>
      <c r="I46" s="1"/>
      <c r="J46" s="1"/>
      <c r="K46" s="1"/>
      <c r="L46" s="1"/>
      <c r="M46" s="1"/>
      <c r="N46" s="1"/>
      <c r="O46" s="1"/>
    </row>
    <row r="47" spans="1:15">
      <c r="A47" s="1"/>
      <c r="B47" s="1"/>
      <c r="C47" s="1"/>
      <c r="D47" s="1"/>
      <c r="E47" s="1"/>
      <c r="F47" s="1"/>
      <c r="G47" s="1"/>
      <c r="H47" s="1"/>
      <c r="I47" s="1"/>
      <c r="J47" s="1"/>
      <c r="K47" s="1"/>
      <c r="L47" s="1"/>
      <c r="M47" s="1"/>
      <c r="N47" s="1"/>
      <c r="O47" s="1"/>
    </row>
    <row r="48" spans="1:15">
      <c r="A48" s="1"/>
      <c r="B48" s="1"/>
      <c r="C48" s="1"/>
      <c r="D48" s="1"/>
      <c r="E48" s="1"/>
      <c r="F48" s="1"/>
      <c r="G48" s="1"/>
      <c r="H48" s="1"/>
      <c r="I48" s="1"/>
      <c r="J48" s="1"/>
      <c r="K48" s="1"/>
      <c r="L48" s="1"/>
      <c r="M48" s="1"/>
      <c r="N48" s="1"/>
      <c r="O48" s="1"/>
    </row>
    <row r="49" spans="1:15">
      <c r="A49" s="1"/>
      <c r="B49" s="1"/>
      <c r="C49" s="1"/>
      <c r="D49" s="1"/>
      <c r="E49" s="1"/>
      <c r="F49" s="1"/>
      <c r="G49" s="1"/>
      <c r="H49" s="1"/>
      <c r="I49" s="1"/>
      <c r="J49" s="1"/>
      <c r="K49" s="1"/>
      <c r="L49" s="1"/>
      <c r="M49" s="1"/>
      <c r="N49" s="1"/>
      <c r="O49" s="1"/>
    </row>
    <row r="50" spans="1:15">
      <c r="A50" s="1"/>
      <c r="B50" s="1"/>
      <c r="C50" s="1"/>
      <c r="D50" s="1"/>
      <c r="E50" s="1"/>
      <c r="F50" s="1"/>
      <c r="G50" s="1"/>
      <c r="H50" s="1"/>
      <c r="I50" s="1"/>
      <c r="J50" s="1"/>
      <c r="K50" s="1"/>
      <c r="L50" s="1"/>
      <c r="M50" s="1"/>
      <c r="N50" s="1"/>
      <c r="O50" s="1"/>
    </row>
    <row r="51" spans="1:15">
      <c r="A51" s="1"/>
      <c r="B51" s="1"/>
      <c r="C51" s="1"/>
      <c r="D51" s="1"/>
      <c r="E51" s="1"/>
      <c r="F51" s="1"/>
      <c r="G51" s="1"/>
      <c r="H51" s="1"/>
      <c r="I51" s="1"/>
      <c r="J51" s="1"/>
      <c r="K51" s="1"/>
      <c r="L51" s="1"/>
      <c r="M51" s="1"/>
      <c r="N51" s="1"/>
      <c r="O51" s="1"/>
    </row>
    <row r="52" spans="1:15">
      <c r="A52" s="1"/>
      <c r="B52" s="1"/>
      <c r="C52" s="1"/>
      <c r="D52" s="1"/>
      <c r="E52" s="1"/>
      <c r="F52" s="1"/>
      <c r="G52" s="1"/>
      <c r="H52" s="1"/>
      <c r="I52" s="1"/>
      <c r="J52" s="1"/>
      <c r="K52" s="1"/>
      <c r="L52" s="1"/>
      <c r="M52" s="1"/>
      <c r="N52" s="1"/>
      <c r="O52" s="1"/>
    </row>
    <row r="53" spans="1:15">
      <c r="A53" s="1"/>
      <c r="B53" s="1"/>
      <c r="C53" s="1"/>
      <c r="D53" s="1"/>
      <c r="E53" s="1"/>
      <c r="F53" s="1"/>
      <c r="G53" s="1"/>
      <c r="H53" s="1"/>
      <c r="I53" s="1"/>
      <c r="J53" s="1"/>
      <c r="K53" s="1"/>
      <c r="L53" s="1"/>
      <c r="M53" s="1"/>
      <c r="N53" s="1"/>
      <c r="O53" s="1"/>
    </row>
    <row r="54" spans="1:15">
      <c r="A54" s="1"/>
      <c r="B54" s="1"/>
      <c r="C54" s="1"/>
      <c r="D54" s="1"/>
      <c r="E54" s="1"/>
      <c r="F54" s="1"/>
      <c r="G54" s="1"/>
      <c r="H54" s="1"/>
      <c r="I54" s="1"/>
      <c r="J54" s="1"/>
      <c r="K54" s="1"/>
      <c r="L54" s="1"/>
      <c r="M54" s="1"/>
      <c r="N54" s="1"/>
      <c r="O54" s="1"/>
    </row>
    <row r="55" spans="1:15">
      <c r="A55" s="1"/>
      <c r="B55" s="1"/>
      <c r="C55" s="1"/>
      <c r="D55" s="1"/>
      <c r="E55" s="1"/>
      <c r="F55" s="1"/>
      <c r="G55" s="1"/>
      <c r="H55" s="1"/>
      <c r="I55" s="1"/>
      <c r="J55" s="1"/>
      <c r="K55" s="1"/>
      <c r="L55" s="1"/>
      <c r="M55" s="1"/>
      <c r="N55" s="1"/>
      <c r="O55" s="1"/>
    </row>
    <row r="56" spans="1:15">
      <c r="A56" s="1"/>
      <c r="B56" s="1"/>
      <c r="C56" s="1"/>
      <c r="D56" s="1"/>
      <c r="E56" s="1"/>
      <c r="F56" s="1"/>
      <c r="G56" s="1"/>
      <c r="H56" s="1"/>
      <c r="I56" s="1"/>
      <c r="J56" s="1"/>
      <c r="K56" s="1"/>
      <c r="L56" s="1"/>
      <c r="M56" s="1"/>
      <c r="N56" s="1"/>
      <c r="O56" s="1"/>
    </row>
    <row r="57" spans="1:15">
      <c r="A57" s="1"/>
      <c r="B57" s="1"/>
      <c r="C57" s="1"/>
      <c r="D57" s="1"/>
      <c r="E57" s="1"/>
      <c r="F57" s="1"/>
      <c r="G57" s="1"/>
      <c r="H57" s="1"/>
      <c r="I57" s="1"/>
      <c r="J57" s="1"/>
      <c r="K57" s="1"/>
      <c r="L57" s="1"/>
      <c r="M57" s="1"/>
      <c r="N57" s="1"/>
      <c r="O57" s="1"/>
    </row>
    <row r="58" spans="1:15">
      <c r="A58" s="1"/>
      <c r="B58" s="1"/>
      <c r="C58" s="1"/>
      <c r="D58" s="1"/>
      <c r="E58" s="1"/>
      <c r="F58" s="1"/>
      <c r="G58" s="1"/>
      <c r="H58" s="1"/>
      <c r="I58" s="1"/>
      <c r="J58" s="1"/>
      <c r="K58" s="1"/>
      <c r="L58" s="1"/>
      <c r="M58" s="1"/>
      <c r="N58" s="1"/>
      <c r="O58" s="1"/>
    </row>
    <row r="59" spans="1:15">
      <c r="A59" s="1"/>
      <c r="B59" s="1"/>
      <c r="C59" s="1"/>
      <c r="D59" s="1"/>
      <c r="E59" s="1"/>
      <c r="F59" s="1"/>
      <c r="G59" s="1"/>
      <c r="H59" s="1"/>
      <c r="I59" s="1"/>
      <c r="J59" s="1"/>
      <c r="K59" s="1"/>
      <c r="L59" s="1"/>
      <c r="M59" s="1"/>
      <c r="N59" s="1"/>
      <c r="O59" s="1"/>
    </row>
    <row r="60" spans="1:15">
      <c r="A60" s="1"/>
      <c r="B60" s="1"/>
      <c r="C60" s="1"/>
      <c r="D60" s="1"/>
      <c r="E60" s="1"/>
      <c r="F60" s="1"/>
      <c r="G60" s="1"/>
      <c r="H60" s="1"/>
      <c r="I60" s="1"/>
      <c r="J60" s="1"/>
      <c r="K60" s="1"/>
      <c r="L60" s="1"/>
      <c r="M60" s="1"/>
      <c r="N60" s="1"/>
      <c r="O60" s="1"/>
    </row>
    <row r="61" spans="1:15">
      <c r="A61" s="1"/>
      <c r="B61" s="1"/>
      <c r="C61" s="1"/>
      <c r="D61" s="1"/>
      <c r="E61" s="1"/>
      <c r="F61" s="1"/>
      <c r="G61" s="1"/>
      <c r="H61" s="1"/>
      <c r="I61" s="1"/>
      <c r="J61" s="1"/>
      <c r="K61" s="1"/>
      <c r="L61" s="1"/>
      <c r="M61" s="1"/>
      <c r="N61" s="1"/>
      <c r="O61" s="1"/>
    </row>
    <row r="62" spans="1:15">
      <c r="A62" s="1"/>
      <c r="B62" s="1"/>
      <c r="C62" s="1"/>
      <c r="D62" s="1"/>
      <c r="E62" s="1"/>
      <c r="F62" s="1"/>
      <c r="G62" s="1"/>
      <c r="H62" s="1"/>
      <c r="I62" s="1"/>
      <c r="J62" s="1"/>
      <c r="K62" s="1"/>
      <c r="L62" s="1"/>
      <c r="M62" s="1"/>
      <c r="N62" s="1"/>
      <c r="O62" s="1"/>
    </row>
    <row r="63" spans="1:15">
      <c r="A63" s="1"/>
      <c r="B63" s="1"/>
      <c r="C63" s="1"/>
      <c r="D63" s="1"/>
      <c r="E63" s="1"/>
      <c r="F63" s="1"/>
      <c r="G63" s="1"/>
      <c r="H63" s="1"/>
      <c r="I63" s="1"/>
      <c r="J63" s="1"/>
      <c r="K63" s="1"/>
      <c r="L63" s="1"/>
      <c r="M63" s="1"/>
      <c r="N63" s="1"/>
      <c r="O63" s="1"/>
    </row>
    <row r="64" spans="1:15">
      <c r="A64" s="1"/>
      <c r="B64" s="1"/>
      <c r="C64" s="1"/>
      <c r="D64" s="1"/>
      <c r="E64" s="1"/>
      <c r="F64" s="1"/>
      <c r="G64" s="1"/>
      <c r="H64" s="1"/>
      <c r="I64" s="1"/>
      <c r="J64" s="1"/>
      <c r="K64" s="1"/>
      <c r="L64" s="1"/>
      <c r="M64" s="1"/>
      <c r="N64" s="1"/>
      <c r="O64" s="1"/>
    </row>
    <row r="65" spans="1:15">
      <c r="A65" s="1"/>
      <c r="B65" s="1"/>
      <c r="C65" s="1"/>
      <c r="D65" s="1"/>
      <c r="E65" s="1"/>
      <c r="F65" s="1"/>
      <c r="G65" s="1"/>
      <c r="H65" s="1"/>
      <c r="I65" s="1"/>
      <c r="J65" s="1"/>
      <c r="K65" s="1"/>
      <c r="L65" s="1"/>
      <c r="M65" s="1"/>
      <c r="N65" s="1"/>
      <c r="O65" s="1"/>
    </row>
    <row r="66" spans="1:15">
      <c r="A66" s="1"/>
      <c r="B66" s="1"/>
      <c r="C66" s="1"/>
      <c r="D66" s="1"/>
      <c r="E66" s="1"/>
      <c r="F66" s="1"/>
      <c r="G66" s="1"/>
      <c r="H66" s="1"/>
      <c r="I66" s="1"/>
      <c r="J66" s="1"/>
      <c r="K66" s="1"/>
      <c r="L66" s="1"/>
      <c r="M66" s="1"/>
      <c r="N66" s="1"/>
      <c r="O66" s="1"/>
    </row>
    <row r="67" spans="1:15">
      <c r="A67" s="1"/>
      <c r="B67" s="1"/>
      <c r="C67" s="1"/>
      <c r="D67" s="1"/>
      <c r="E67" s="1"/>
      <c r="F67" s="1"/>
      <c r="G67" s="1"/>
      <c r="H67" s="1"/>
      <c r="I67" s="1"/>
      <c r="J67" s="1"/>
      <c r="K67" s="1"/>
      <c r="L67" s="1"/>
      <c r="M67" s="1"/>
      <c r="N67" s="1"/>
      <c r="O67" s="1"/>
    </row>
    <row r="68" spans="1:15">
      <c r="A68" s="1"/>
      <c r="B68" s="1"/>
      <c r="C68" s="1"/>
      <c r="D68" s="1"/>
      <c r="E68" s="1"/>
      <c r="F68" s="1"/>
      <c r="G68" s="1"/>
      <c r="H68" s="1"/>
      <c r="I68" s="1"/>
      <c r="J68" s="1"/>
      <c r="K68" s="1"/>
      <c r="L68" s="1"/>
      <c r="M68" s="1"/>
      <c r="N68" s="1"/>
      <c r="O68" s="1"/>
    </row>
    <row r="69" spans="1:15">
      <c r="A69" s="1"/>
      <c r="B69" s="1"/>
      <c r="C69" s="1"/>
      <c r="D69" s="1"/>
      <c r="E69" s="1"/>
      <c r="F69" s="1"/>
      <c r="G69" s="1"/>
      <c r="H69" s="1"/>
      <c r="I69" s="1"/>
      <c r="J69" s="1"/>
      <c r="K69" s="1"/>
      <c r="L69" s="1"/>
      <c r="M69" s="1"/>
      <c r="N69" s="1"/>
      <c r="O69" s="1"/>
    </row>
    <row r="70" spans="1:15">
      <c r="A70" s="1"/>
      <c r="B70" s="1"/>
      <c r="C70" s="1"/>
      <c r="D70" s="1"/>
      <c r="E70" s="1"/>
      <c r="F70" s="1"/>
      <c r="G70" s="1"/>
      <c r="H70" s="1"/>
      <c r="I70" s="1"/>
      <c r="J70" s="1"/>
      <c r="K70" s="1"/>
      <c r="L70" s="1"/>
      <c r="M70" s="1"/>
      <c r="N70" s="1"/>
      <c r="O70" s="1"/>
    </row>
    <row r="71" spans="1:15">
      <c r="A71" s="1"/>
      <c r="B71" s="1"/>
      <c r="C71" s="1"/>
      <c r="D71" s="1"/>
      <c r="E71" s="1"/>
      <c r="F71" s="1"/>
      <c r="G71" s="1"/>
      <c r="H71" s="1"/>
      <c r="I71" s="1"/>
      <c r="J71" s="1"/>
      <c r="K71" s="1"/>
      <c r="L71" s="1"/>
      <c r="M71" s="1"/>
      <c r="N71" s="1"/>
      <c r="O71" s="1"/>
    </row>
    <row r="72" spans="1:15">
      <c r="A72" s="1"/>
      <c r="B72" s="1"/>
      <c r="C72" s="1"/>
      <c r="D72" s="1"/>
      <c r="E72" s="1"/>
      <c r="F72" s="1"/>
      <c r="G72" s="1"/>
      <c r="H72" s="1"/>
      <c r="I72" s="1"/>
      <c r="J72" s="1"/>
      <c r="K72" s="1"/>
      <c r="L72" s="1"/>
      <c r="M72" s="1"/>
      <c r="N72" s="1"/>
      <c r="O72" s="1"/>
    </row>
    <row r="73" spans="1:15">
      <c r="A73" s="1"/>
      <c r="B73" s="1"/>
      <c r="C73" s="1"/>
      <c r="D73" s="1"/>
      <c r="E73" s="1"/>
      <c r="F73" s="1"/>
      <c r="G73" s="1"/>
      <c r="H73" s="1"/>
      <c r="I73" s="1"/>
      <c r="J73" s="1"/>
      <c r="K73" s="1"/>
      <c r="L73" s="1"/>
      <c r="M73" s="1"/>
      <c r="N73" s="1"/>
      <c r="O73" s="1"/>
    </row>
    <row r="74" spans="1:15">
      <c r="A74" s="1"/>
      <c r="B74" s="1"/>
      <c r="C74" s="1"/>
      <c r="D74" s="1"/>
      <c r="E74" s="1"/>
      <c r="F74" s="1"/>
      <c r="G74" s="1"/>
      <c r="H74" s="1"/>
      <c r="I74" s="1"/>
      <c r="J74" s="1"/>
      <c r="K74" s="1"/>
      <c r="L74" s="1"/>
      <c r="M74" s="1"/>
      <c r="N74" s="1"/>
      <c r="O74" s="1"/>
    </row>
    <row r="75" spans="1:15">
      <c r="A75" s="1"/>
      <c r="B75" s="1"/>
      <c r="C75" s="1"/>
      <c r="D75" s="1"/>
      <c r="E75" s="1"/>
      <c r="F75" s="1"/>
      <c r="G75" s="1"/>
      <c r="H75" s="1"/>
      <c r="I75" s="1"/>
      <c r="J75" s="1"/>
      <c r="K75" s="1"/>
      <c r="L75" s="1"/>
      <c r="M75" s="1"/>
      <c r="N75" s="1"/>
      <c r="O75" s="1"/>
    </row>
    <row r="76" spans="1:15">
      <c r="A76" s="1"/>
      <c r="B76" s="1"/>
      <c r="C76" s="1"/>
      <c r="D76" s="1"/>
      <c r="E76" s="1"/>
      <c r="F76" s="1"/>
      <c r="G76" s="1"/>
      <c r="H76" s="1"/>
      <c r="I76" s="1"/>
      <c r="J76" s="1"/>
      <c r="K76" s="1"/>
      <c r="L76" s="1"/>
      <c r="M76" s="1"/>
      <c r="N76" s="1"/>
      <c r="O76" s="1"/>
    </row>
    <row r="77" spans="1:15">
      <c r="A77" s="1"/>
      <c r="B77" s="1"/>
      <c r="C77" s="1"/>
      <c r="D77" s="1"/>
      <c r="E77" s="1"/>
      <c r="F77" s="1"/>
      <c r="G77" s="1"/>
      <c r="H77" s="1"/>
      <c r="I77" s="1"/>
      <c r="J77" s="1"/>
      <c r="K77" s="1"/>
      <c r="L77" s="1"/>
      <c r="M77" s="1"/>
      <c r="N77" s="1"/>
      <c r="O77" s="1"/>
    </row>
    <row r="78" spans="1:15">
      <c r="A78" s="1"/>
      <c r="B78" s="1"/>
      <c r="C78" s="1"/>
      <c r="D78" s="1"/>
      <c r="E78" s="1"/>
      <c r="F78" s="1"/>
      <c r="G78" s="1"/>
      <c r="H78" s="1"/>
      <c r="I78" s="1"/>
      <c r="J78" s="1"/>
      <c r="K78" s="1"/>
      <c r="L78" s="1"/>
      <c r="M78" s="1"/>
      <c r="N78" s="1"/>
      <c r="O78" s="1"/>
    </row>
    <row r="79" spans="1:15">
      <c r="A79" s="1"/>
      <c r="B79" s="1"/>
      <c r="C79" s="1"/>
      <c r="D79" s="1"/>
      <c r="E79" s="1"/>
      <c r="F79" s="1"/>
      <c r="G79" s="1"/>
      <c r="H79" s="1"/>
      <c r="I79" s="1"/>
      <c r="J79" s="1"/>
      <c r="K79" s="1"/>
      <c r="L79" s="1"/>
      <c r="M79" s="1"/>
      <c r="N79" s="1"/>
      <c r="O79" s="1"/>
    </row>
    <row r="80" spans="1:15">
      <c r="A80" s="1"/>
      <c r="B80" s="1"/>
      <c r="C80" s="1"/>
      <c r="D80" s="1"/>
      <c r="E80" s="1"/>
      <c r="F80" s="1"/>
      <c r="G80" s="1"/>
      <c r="H80" s="1"/>
      <c r="I80" s="1"/>
      <c r="J80" s="1"/>
      <c r="K80" s="1"/>
      <c r="L80" s="1"/>
      <c r="M80" s="1"/>
      <c r="N80" s="1"/>
      <c r="O80" s="1"/>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2"/>
  <sheetViews>
    <sheetView tabSelected="1" topLeftCell="A10" zoomScale="69" workbookViewId="0">
      <selection activeCell="A25" sqref="A25:C29"/>
    </sheetView>
  </sheetViews>
  <sheetFormatPr defaultRowHeight="14"/>
  <cols>
    <col min="1" max="1" width="22" customWidth="1"/>
    <col min="2" max="3" width="48" customWidth="1"/>
  </cols>
  <sheetData>
    <row r="1" spans="1:13" ht="18.649999999999999" customHeight="1">
      <c r="A1" s="28" t="s">
        <v>51</v>
      </c>
      <c r="B1" s="28"/>
      <c r="C1" s="28"/>
      <c r="D1" s="1"/>
      <c r="E1" s="1"/>
      <c r="F1" s="1"/>
      <c r="G1" s="1"/>
      <c r="H1" s="1"/>
      <c r="I1" s="1"/>
      <c r="J1" s="1"/>
      <c r="K1" s="1"/>
      <c r="L1" s="1"/>
      <c r="M1" s="1"/>
    </row>
    <row r="2" spans="1:13">
      <c r="A2" s="1"/>
      <c r="B2" s="1"/>
      <c r="C2" s="1"/>
      <c r="D2" s="1"/>
      <c r="E2" s="1"/>
      <c r="F2" s="1"/>
      <c r="G2" s="1"/>
      <c r="H2" s="1"/>
      <c r="I2" s="1"/>
      <c r="J2" s="1"/>
      <c r="K2" s="1"/>
      <c r="L2" s="1"/>
      <c r="M2" s="1"/>
    </row>
    <row r="3" spans="1:13">
      <c r="A3" s="2" t="s">
        <v>52</v>
      </c>
      <c r="B3" s="2" t="s">
        <v>53</v>
      </c>
      <c r="C3" s="2" t="s">
        <v>54</v>
      </c>
      <c r="D3" s="1"/>
      <c r="E3" s="1"/>
      <c r="F3" s="1"/>
      <c r="G3" s="1"/>
      <c r="H3" s="1"/>
      <c r="I3" s="1"/>
      <c r="J3" s="1"/>
      <c r="K3" s="1"/>
      <c r="L3" s="1"/>
      <c r="M3" s="1"/>
    </row>
    <row r="4" spans="1:13" ht="32" customHeight="1">
      <c r="A4" s="3" t="s">
        <v>2</v>
      </c>
      <c r="B4" s="3" t="s">
        <v>88</v>
      </c>
      <c r="C4" s="3" t="s">
        <v>85</v>
      </c>
      <c r="D4" s="1"/>
      <c r="E4" s="1"/>
      <c r="F4" s="1"/>
      <c r="G4" s="1"/>
      <c r="H4" s="1"/>
      <c r="I4" s="1"/>
      <c r="J4" s="1"/>
      <c r="K4" s="1"/>
      <c r="L4" s="1"/>
      <c r="M4" s="1"/>
    </row>
    <row r="5" spans="1:13" ht="32" customHeight="1">
      <c r="A5" s="3" t="s">
        <v>3</v>
      </c>
      <c r="B5" s="3" t="s">
        <v>90</v>
      </c>
      <c r="C5" s="3" t="s">
        <v>83</v>
      </c>
      <c r="D5" s="1"/>
      <c r="E5" s="1"/>
      <c r="F5" s="1"/>
      <c r="G5" s="1"/>
      <c r="H5" s="1"/>
      <c r="I5" s="1"/>
      <c r="J5" s="1"/>
      <c r="K5" s="1"/>
      <c r="L5" s="1"/>
      <c r="M5" s="1"/>
    </row>
    <row r="6" spans="1:13" ht="32" customHeight="1">
      <c r="A6" s="3" t="s">
        <v>4</v>
      </c>
      <c r="B6" s="3" t="s">
        <v>89</v>
      </c>
      <c r="C6" s="3" t="s">
        <v>84</v>
      </c>
      <c r="D6" s="1"/>
      <c r="E6" s="1"/>
      <c r="F6" s="1"/>
      <c r="G6" s="1"/>
      <c r="H6" s="1"/>
      <c r="I6" s="1"/>
      <c r="J6" s="1"/>
      <c r="K6" s="1"/>
      <c r="L6" s="1"/>
      <c r="M6" s="1"/>
    </row>
    <row r="7" spans="1:13" ht="32" customHeight="1">
      <c r="A7" s="3" t="s">
        <v>5</v>
      </c>
      <c r="B7" s="3" t="s">
        <v>89</v>
      </c>
      <c r="C7" s="3" t="s">
        <v>86</v>
      </c>
      <c r="D7" s="1"/>
      <c r="E7" s="1"/>
      <c r="F7" s="1"/>
      <c r="G7" s="1"/>
      <c r="H7" s="1"/>
      <c r="I7" s="1"/>
      <c r="J7" s="1"/>
      <c r="K7" s="1"/>
      <c r="L7" s="1"/>
      <c r="M7" s="1"/>
    </row>
    <row r="8" spans="1:13" ht="32" customHeight="1">
      <c r="A8" s="3" t="s">
        <v>55</v>
      </c>
      <c r="B8" s="3" t="s">
        <v>56</v>
      </c>
      <c r="C8" s="3" t="s">
        <v>87</v>
      </c>
      <c r="D8" s="1"/>
      <c r="E8" s="1"/>
      <c r="F8" s="1"/>
      <c r="G8" s="1"/>
      <c r="H8" s="1"/>
      <c r="I8" s="1"/>
      <c r="J8" s="1"/>
      <c r="K8" s="1"/>
      <c r="L8" s="1"/>
      <c r="M8" s="1"/>
    </row>
    <row r="9" spans="1:13">
      <c r="A9" s="1"/>
      <c r="B9" s="1"/>
      <c r="C9" s="1"/>
      <c r="D9" s="1"/>
      <c r="E9" s="1"/>
      <c r="F9" s="1"/>
      <c r="G9" s="1"/>
      <c r="H9" s="1"/>
      <c r="I9" s="1"/>
      <c r="J9" s="1"/>
      <c r="K9" s="1"/>
      <c r="L9" s="1"/>
      <c r="M9" s="1"/>
    </row>
    <row r="10" spans="1:13">
      <c r="A10" s="30" t="s">
        <v>57</v>
      </c>
      <c r="B10" s="30"/>
      <c r="C10" s="30"/>
      <c r="D10" s="1"/>
      <c r="E10" s="1"/>
      <c r="F10" s="1"/>
      <c r="G10" s="1"/>
      <c r="H10" s="1"/>
      <c r="I10" s="1"/>
      <c r="J10" s="1"/>
      <c r="K10" s="1"/>
      <c r="L10" s="1"/>
      <c r="M10" s="1"/>
    </row>
    <row r="11" spans="1:13">
      <c r="A11" s="3" t="s">
        <v>58</v>
      </c>
      <c r="B11" s="3" t="s">
        <v>59</v>
      </c>
      <c r="C11" s="1"/>
      <c r="D11" s="1"/>
      <c r="E11" s="1"/>
      <c r="F11" s="1"/>
      <c r="G11" s="1"/>
      <c r="H11" s="1"/>
      <c r="I11" s="1"/>
      <c r="J11" s="1"/>
      <c r="K11" s="1"/>
      <c r="L11" s="1"/>
      <c r="M11" s="1"/>
    </row>
    <row r="12" spans="1:13">
      <c r="A12" s="3" t="s">
        <v>60</v>
      </c>
      <c r="B12" s="3" t="s">
        <v>61</v>
      </c>
      <c r="C12" s="1"/>
      <c r="D12" s="1"/>
      <c r="E12" s="1"/>
      <c r="F12" s="1"/>
      <c r="G12" s="1"/>
      <c r="H12" s="1"/>
      <c r="I12" s="1"/>
      <c r="J12" s="1"/>
      <c r="K12" s="1"/>
      <c r="L12" s="1"/>
      <c r="M12" s="1"/>
    </row>
    <row r="13" spans="1:13">
      <c r="A13" s="3" t="s">
        <v>62</v>
      </c>
      <c r="B13" s="3" t="s">
        <v>63</v>
      </c>
      <c r="C13" s="1"/>
      <c r="D13" s="1"/>
      <c r="E13" s="1"/>
      <c r="F13" s="1"/>
      <c r="G13" s="1"/>
      <c r="H13" s="1"/>
      <c r="I13" s="1"/>
      <c r="J13" s="1"/>
      <c r="K13" s="1"/>
      <c r="L13" s="1"/>
      <c r="M13" s="1"/>
    </row>
    <row r="14" spans="1:13">
      <c r="A14" s="3" t="s">
        <v>29</v>
      </c>
      <c r="B14" s="3" t="s">
        <v>64</v>
      </c>
      <c r="C14" s="1"/>
      <c r="D14" s="1"/>
      <c r="E14" s="1"/>
      <c r="F14" s="1"/>
      <c r="G14" s="1"/>
      <c r="H14" s="1"/>
      <c r="I14" s="1"/>
      <c r="J14" s="1"/>
      <c r="K14" s="1"/>
      <c r="L14" s="1"/>
      <c r="M14" s="1"/>
    </row>
    <row r="15" spans="1:13">
      <c r="A15" s="3" t="s">
        <v>30</v>
      </c>
      <c r="B15" s="3" t="s">
        <v>65</v>
      </c>
      <c r="C15" s="1"/>
      <c r="D15" s="1"/>
      <c r="E15" s="1"/>
      <c r="F15" s="1"/>
      <c r="G15" s="1"/>
      <c r="H15" s="1"/>
      <c r="I15" s="1"/>
      <c r="J15" s="1"/>
      <c r="K15" s="1"/>
      <c r="L15" s="1"/>
      <c r="M15" s="1"/>
    </row>
    <row r="16" spans="1:13">
      <c r="A16" s="3" t="s">
        <v>66</v>
      </c>
      <c r="B16" s="3" t="s">
        <v>67</v>
      </c>
      <c r="C16" s="1"/>
      <c r="D16" s="1"/>
      <c r="E16" s="1"/>
      <c r="F16" s="1"/>
      <c r="G16" s="1"/>
      <c r="H16" s="1"/>
      <c r="I16" s="1"/>
      <c r="J16" s="1"/>
      <c r="K16" s="1"/>
      <c r="L16" s="1"/>
      <c r="M16" s="1"/>
    </row>
    <row r="17" spans="1:13">
      <c r="A17" s="3" t="s">
        <v>68</v>
      </c>
      <c r="B17" s="3" t="s">
        <v>69</v>
      </c>
      <c r="C17" s="1"/>
      <c r="D17" s="1"/>
      <c r="E17" s="1"/>
      <c r="F17" s="1"/>
      <c r="G17" s="1"/>
      <c r="H17" s="1"/>
      <c r="I17" s="1"/>
      <c r="J17" s="1"/>
      <c r="K17" s="1"/>
      <c r="L17" s="1"/>
      <c r="M17" s="1"/>
    </row>
    <row r="18" spans="1:13">
      <c r="A18" s="3" t="s">
        <v>70</v>
      </c>
      <c r="B18" s="3" t="s">
        <v>71</v>
      </c>
      <c r="C18" s="1"/>
      <c r="D18" s="1"/>
      <c r="E18" s="1"/>
      <c r="F18" s="1"/>
      <c r="G18" s="1"/>
      <c r="H18" s="1"/>
      <c r="I18" s="1"/>
      <c r="J18" s="1"/>
      <c r="K18" s="1"/>
      <c r="L18" s="1"/>
      <c r="M18" s="1"/>
    </row>
    <row r="19" spans="1:13">
      <c r="A19" s="3" t="s">
        <v>92</v>
      </c>
      <c r="B19" s="3" t="s">
        <v>95</v>
      </c>
      <c r="C19" s="1"/>
      <c r="D19" s="1"/>
      <c r="E19" s="1"/>
      <c r="F19" s="1"/>
      <c r="G19" s="1"/>
      <c r="H19" s="1"/>
      <c r="I19" s="1"/>
      <c r="J19" s="1"/>
      <c r="K19" s="1"/>
      <c r="L19" s="1"/>
      <c r="M19" s="1"/>
    </row>
    <row r="20" spans="1:13">
      <c r="A20" s="3" t="s">
        <v>72</v>
      </c>
      <c r="B20" s="3" t="s">
        <v>73</v>
      </c>
      <c r="C20" s="1"/>
      <c r="D20" s="1"/>
      <c r="E20" s="1"/>
      <c r="F20" s="1"/>
      <c r="G20" s="1"/>
      <c r="H20" s="1"/>
      <c r="I20" s="1"/>
      <c r="J20" s="1"/>
      <c r="K20" s="1"/>
      <c r="L20" s="1"/>
      <c r="M20" s="1"/>
    </row>
    <row r="21" spans="1:13">
      <c r="A21" s="3" t="s">
        <v>93</v>
      </c>
      <c r="B21" s="3" t="s">
        <v>94</v>
      </c>
      <c r="C21" s="1"/>
      <c r="D21" s="1"/>
      <c r="E21" s="1"/>
      <c r="F21" s="1"/>
      <c r="G21" s="1"/>
      <c r="H21" s="1"/>
      <c r="I21" s="1"/>
      <c r="J21" s="1"/>
      <c r="K21" s="1"/>
      <c r="L21" s="1"/>
      <c r="M21" s="1"/>
    </row>
    <row r="22" spans="1:13" ht="25.5">
      <c r="A22" s="3" t="s">
        <v>74</v>
      </c>
      <c r="B22" s="3" t="s">
        <v>75</v>
      </c>
      <c r="C22" s="1"/>
      <c r="D22" s="1"/>
      <c r="E22" s="1"/>
      <c r="F22" s="1"/>
      <c r="G22" s="1"/>
      <c r="H22" s="1"/>
      <c r="I22" s="1"/>
      <c r="J22" s="1"/>
      <c r="K22" s="1"/>
      <c r="L22" s="1"/>
      <c r="M22" s="1"/>
    </row>
    <row r="23" spans="1:13">
      <c r="A23" s="1"/>
      <c r="B23" s="1"/>
      <c r="C23" s="1"/>
      <c r="D23" s="1"/>
      <c r="E23" s="1"/>
      <c r="F23" s="1"/>
      <c r="G23" s="1"/>
      <c r="H23" s="1"/>
      <c r="I23" s="1"/>
      <c r="J23" s="1"/>
      <c r="K23" s="1"/>
      <c r="L23" s="1"/>
      <c r="M23" s="1"/>
    </row>
    <row r="24" spans="1:13">
      <c r="A24" s="30" t="s">
        <v>76</v>
      </c>
      <c r="B24" s="30"/>
      <c r="C24" s="30"/>
      <c r="D24" s="1"/>
      <c r="E24" s="1"/>
      <c r="F24" s="1"/>
      <c r="G24" s="1"/>
      <c r="H24" s="1"/>
      <c r="I24" s="1"/>
      <c r="J24" s="1"/>
      <c r="K24" s="1"/>
      <c r="L24" s="1"/>
      <c r="M24" s="1"/>
    </row>
    <row r="25" spans="1:13">
      <c r="A25" s="29" t="s">
        <v>77</v>
      </c>
      <c r="B25" s="29"/>
      <c r="C25" s="29"/>
      <c r="D25" s="1"/>
      <c r="E25" s="1"/>
      <c r="F25" s="1"/>
      <c r="G25" s="1"/>
      <c r="H25" s="1"/>
      <c r="I25" s="1"/>
      <c r="J25" s="1"/>
      <c r="K25" s="1"/>
      <c r="L25" s="1"/>
      <c r="M25" s="1"/>
    </row>
    <row r="26" spans="1:13">
      <c r="A26" s="29"/>
      <c r="B26" s="29"/>
      <c r="C26" s="29"/>
      <c r="D26" s="1"/>
      <c r="E26" s="1"/>
      <c r="F26" s="1"/>
      <c r="G26" s="1"/>
      <c r="H26" s="1"/>
      <c r="I26" s="1"/>
      <c r="J26" s="1"/>
      <c r="K26" s="1"/>
      <c r="L26" s="1"/>
      <c r="M26" s="1"/>
    </row>
    <row r="27" spans="1:13">
      <c r="A27" s="29"/>
      <c r="B27" s="29"/>
      <c r="C27" s="29"/>
      <c r="D27" s="1"/>
      <c r="E27" s="1"/>
      <c r="F27" s="1"/>
      <c r="G27" s="1"/>
      <c r="H27" s="1"/>
      <c r="I27" s="1"/>
      <c r="J27" s="1"/>
      <c r="K27" s="1"/>
      <c r="L27" s="1"/>
      <c r="M27" s="1"/>
    </row>
    <row r="28" spans="1:13">
      <c r="A28" s="29"/>
      <c r="B28" s="29"/>
      <c r="C28" s="29"/>
      <c r="D28" s="1"/>
      <c r="E28" s="1"/>
      <c r="F28" s="1"/>
      <c r="G28" s="1"/>
      <c r="H28" s="1"/>
      <c r="I28" s="1"/>
      <c r="J28" s="1"/>
      <c r="K28" s="1"/>
      <c r="L28" s="1"/>
      <c r="M28" s="1"/>
    </row>
    <row r="29" spans="1:13" ht="41.5" customHeight="1">
      <c r="A29" s="29"/>
      <c r="B29" s="29"/>
      <c r="C29" s="29"/>
      <c r="D29" s="1"/>
      <c r="E29" s="1"/>
      <c r="F29" s="1"/>
      <c r="G29" s="1"/>
      <c r="H29" s="1"/>
      <c r="I29" s="1"/>
      <c r="J29" s="1"/>
      <c r="K29" s="1"/>
      <c r="L29" s="1"/>
      <c r="M29" s="1"/>
    </row>
    <row r="30" spans="1:13" ht="14" customHeight="1">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3"/>
      <c r="D32" s="1"/>
      <c r="E32" s="1"/>
      <c r="F32" s="1"/>
      <c r="G32" s="1"/>
      <c r="H32" s="1"/>
      <c r="I32" s="1"/>
      <c r="J32" s="1"/>
      <c r="K32" s="1"/>
      <c r="L32" s="1"/>
      <c r="M32" s="1"/>
    </row>
    <row r="33" spans="1:13">
      <c r="A33" s="1"/>
      <c r="B33" s="1"/>
      <c r="C33" s="3"/>
      <c r="D33" s="1"/>
      <c r="E33" s="1"/>
      <c r="F33" s="1"/>
      <c r="G33" s="1"/>
      <c r="H33" s="1"/>
      <c r="I33" s="1"/>
      <c r="J33" s="1"/>
      <c r="K33" s="1"/>
      <c r="L33" s="1"/>
      <c r="M33" s="1"/>
    </row>
    <row r="34" spans="1:13">
      <c r="A34" s="1"/>
      <c r="B34" s="1"/>
      <c r="C34" s="1"/>
      <c r="D34" s="1"/>
      <c r="E34" s="1"/>
      <c r="F34" s="1"/>
      <c r="G34" s="1"/>
      <c r="H34" s="1"/>
      <c r="I34" s="1"/>
      <c r="J34" s="1"/>
      <c r="K34" s="1"/>
      <c r="L34" s="1"/>
      <c r="M34" s="1"/>
    </row>
    <row r="35" spans="1:13" ht="14" customHeight="1">
      <c r="A35" s="1"/>
      <c r="B35" s="1"/>
      <c r="D35" s="1"/>
      <c r="E35" s="1"/>
      <c r="F35" s="1"/>
      <c r="G35" s="1"/>
      <c r="H35" s="1"/>
      <c r="I35" s="1"/>
      <c r="J35" s="1"/>
      <c r="K35" s="1"/>
      <c r="L35" s="1"/>
      <c r="M35" s="1"/>
    </row>
    <row r="36" spans="1:13">
      <c r="A36" s="1"/>
      <c r="B36" s="1"/>
      <c r="D36" s="1"/>
      <c r="E36" s="1"/>
      <c r="F36" s="1"/>
      <c r="G36" s="1"/>
      <c r="H36" s="1"/>
      <c r="I36" s="1"/>
      <c r="J36" s="1"/>
      <c r="K36" s="1"/>
      <c r="L36" s="1"/>
      <c r="M36" s="1"/>
    </row>
    <row r="37" spans="1:13">
      <c r="A37" s="1"/>
      <c r="B37" s="1"/>
      <c r="C37" s="1"/>
      <c r="D37" s="1"/>
      <c r="E37" s="1"/>
      <c r="F37" s="1"/>
      <c r="G37" s="1"/>
      <c r="H37" s="1"/>
      <c r="I37" s="1"/>
      <c r="J37" s="1"/>
      <c r="K37" s="1"/>
      <c r="L37" s="1"/>
      <c r="M37" s="1"/>
    </row>
    <row r="38" spans="1:13">
      <c r="A38" s="1"/>
      <c r="B38" s="1"/>
      <c r="C38" s="1"/>
      <c r="D38" s="1"/>
      <c r="E38" s="1"/>
      <c r="F38" s="1"/>
      <c r="G38" s="1"/>
      <c r="H38" s="1"/>
      <c r="I38" s="1"/>
      <c r="J38" s="1"/>
      <c r="K38" s="1"/>
      <c r="L38" s="1"/>
      <c r="M38" s="1"/>
    </row>
    <row r="39" spans="1:13">
      <c r="A39" s="1"/>
      <c r="B39" s="1"/>
      <c r="C39" s="1"/>
      <c r="D39" s="1"/>
      <c r="E39" s="1"/>
      <c r="F39" s="1"/>
      <c r="G39" s="1"/>
      <c r="H39" s="1"/>
      <c r="I39" s="1"/>
      <c r="J39" s="1"/>
      <c r="K39" s="1"/>
      <c r="L39" s="1"/>
      <c r="M39" s="1"/>
    </row>
    <row r="40" spans="1:13">
      <c r="A40" s="1"/>
      <c r="B40" s="1"/>
      <c r="C40" s="1"/>
      <c r="D40" s="1"/>
      <c r="E40" s="1"/>
      <c r="F40" s="1"/>
      <c r="G40" s="1"/>
      <c r="H40" s="1"/>
      <c r="I40" s="1"/>
      <c r="J40" s="1"/>
      <c r="K40" s="1"/>
      <c r="L40" s="1"/>
      <c r="M40" s="1"/>
    </row>
    <row r="41" spans="1:13">
      <c r="A41" s="1"/>
      <c r="B41" s="1"/>
      <c r="C41" s="1"/>
      <c r="D41" s="1"/>
      <c r="E41" s="1"/>
      <c r="F41" s="1"/>
      <c r="G41" s="1"/>
      <c r="H41" s="1"/>
      <c r="I41" s="1"/>
      <c r="J41" s="1"/>
      <c r="K41" s="1"/>
      <c r="L41" s="1"/>
      <c r="M41" s="1"/>
    </row>
    <row r="42" spans="1:13">
      <c r="A42" s="1"/>
      <c r="B42" s="1"/>
      <c r="C42" s="1"/>
      <c r="D42" s="1"/>
      <c r="E42" s="1"/>
      <c r="F42" s="1"/>
      <c r="G42" s="1"/>
      <c r="H42" s="1"/>
      <c r="I42" s="1"/>
      <c r="J42" s="1"/>
      <c r="K42" s="1"/>
      <c r="L42" s="1"/>
      <c r="M42" s="1"/>
    </row>
    <row r="43" spans="1:13">
      <c r="A43" s="1"/>
      <c r="B43" s="1"/>
      <c r="C43" s="1"/>
      <c r="D43" s="1"/>
      <c r="E43" s="1"/>
      <c r="F43" s="1"/>
      <c r="G43" s="1"/>
      <c r="H43" s="1"/>
      <c r="I43" s="1"/>
      <c r="J43" s="1"/>
      <c r="K43" s="1"/>
      <c r="L43" s="1"/>
      <c r="M43" s="1"/>
    </row>
    <row r="44" spans="1:13">
      <c r="A44" s="1"/>
      <c r="B44" s="1"/>
      <c r="C44" s="1"/>
      <c r="D44" s="1"/>
      <c r="E44" s="1"/>
      <c r="F44" s="1"/>
      <c r="G44" s="1"/>
      <c r="H44" s="1"/>
      <c r="I44" s="1"/>
      <c r="J44" s="1"/>
      <c r="K44" s="1"/>
      <c r="L44" s="1"/>
      <c r="M44" s="1"/>
    </row>
    <row r="45" spans="1:13">
      <c r="A45" s="1"/>
      <c r="B45" s="1"/>
      <c r="C45" s="1"/>
      <c r="D45" s="1"/>
      <c r="E45" s="1"/>
      <c r="F45" s="1"/>
      <c r="G45" s="1"/>
      <c r="H45" s="1"/>
      <c r="I45" s="1"/>
      <c r="J45" s="1"/>
      <c r="K45" s="1"/>
      <c r="L45" s="1"/>
      <c r="M45" s="1"/>
    </row>
    <row r="46" spans="1:13">
      <c r="A46" s="1"/>
      <c r="B46" s="1"/>
      <c r="C46" s="1"/>
      <c r="D46" s="1"/>
      <c r="E46" s="1"/>
      <c r="F46" s="1"/>
      <c r="G46" s="1"/>
      <c r="H46" s="1"/>
      <c r="I46" s="1"/>
      <c r="J46" s="1"/>
      <c r="K46" s="1"/>
      <c r="L46" s="1"/>
      <c r="M46" s="1"/>
    </row>
    <row r="47" spans="1:13">
      <c r="A47" s="1"/>
      <c r="B47" s="1"/>
      <c r="C47" s="1"/>
      <c r="D47" s="1"/>
      <c r="E47" s="1"/>
      <c r="F47" s="1"/>
      <c r="G47" s="1"/>
      <c r="H47" s="1"/>
      <c r="I47" s="1"/>
      <c r="J47" s="1"/>
      <c r="K47" s="1"/>
      <c r="L47" s="1"/>
      <c r="M47" s="1"/>
    </row>
    <row r="48" spans="1:13">
      <c r="A48" s="1"/>
      <c r="B48" s="1"/>
      <c r="C48" s="1"/>
      <c r="D48" s="1"/>
      <c r="E48" s="1"/>
      <c r="F48" s="1"/>
      <c r="G48" s="1"/>
      <c r="H48" s="1"/>
      <c r="I48" s="1"/>
      <c r="J48" s="1"/>
      <c r="K48" s="1"/>
      <c r="L48" s="1"/>
      <c r="M48" s="1"/>
    </row>
    <row r="49" spans="1:13">
      <c r="A49" s="1"/>
      <c r="B49" s="1"/>
      <c r="C49" s="1"/>
      <c r="D49" s="1"/>
      <c r="E49" s="1"/>
      <c r="F49" s="1"/>
      <c r="G49" s="1"/>
      <c r="H49" s="1"/>
      <c r="I49" s="1"/>
      <c r="J49" s="1"/>
      <c r="K49" s="1"/>
      <c r="L49" s="1"/>
      <c r="M49" s="1"/>
    </row>
    <row r="50" spans="1:13">
      <c r="A50" s="1"/>
      <c r="B50" s="1"/>
      <c r="C50" s="1"/>
      <c r="D50" s="1"/>
      <c r="E50" s="1"/>
      <c r="F50" s="1"/>
      <c r="G50" s="1"/>
      <c r="H50" s="1"/>
      <c r="I50" s="1"/>
      <c r="J50" s="1"/>
      <c r="K50" s="1"/>
      <c r="L50" s="1"/>
      <c r="M50" s="1"/>
    </row>
    <row r="51" spans="1:13">
      <c r="A51" s="1"/>
      <c r="B51" s="1"/>
      <c r="C51" s="1"/>
      <c r="D51" s="1"/>
      <c r="E51" s="1"/>
      <c r="F51" s="1"/>
      <c r="G51" s="1"/>
      <c r="H51" s="1"/>
      <c r="I51" s="1"/>
      <c r="J51" s="1"/>
      <c r="K51" s="1"/>
      <c r="L51" s="1"/>
      <c r="M51" s="1"/>
    </row>
    <row r="52" spans="1:13">
      <c r="A52" s="1"/>
      <c r="B52" s="1"/>
      <c r="C52" s="1"/>
      <c r="D52" s="1"/>
      <c r="E52" s="1"/>
      <c r="F52" s="1"/>
      <c r="G52" s="1"/>
      <c r="H52" s="1"/>
      <c r="I52" s="1"/>
      <c r="J52" s="1"/>
      <c r="K52" s="1"/>
      <c r="L52" s="1"/>
      <c r="M52" s="1"/>
    </row>
    <row r="53" spans="1:13">
      <c r="A53" s="1"/>
      <c r="B53" s="1"/>
      <c r="C53" s="1"/>
      <c r="D53" s="1"/>
      <c r="E53" s="1"/>
      <c r="F53" s="1"/>
      <c r="G53" s="1"/>
      <c r="H53" s="1"/>
      <c r="I53" s="1"/>
      <c r="J53" s="1"/>
      <c r="K53" s="1"/>
      <c r="L53" s="1"/>
      <c r="M53" s="1"/>
    </row>
    <row r="54" spans="1:13">
      <c r="A54" s="1"/>
      <c r="B54" s="1"/>
      <c r="C54" s="1"/>
      <c r="D54" s="1"/>
      <c r="E54" s="1"/>
      <c r="F54" s="1"/>
      <c r="G54" s="1"/>
      <c r="H54" s="1"/>
      <c r="I54" s="1"/>
      <c r="J54" s="1"/>
      <c r="K54" s="1"/>
      <c r="L54" s="1"/>
      <c r="M54" s="1"/>
    </row>
    <row r="55" spans="1:13">
      <c r="A55" s="1"/>
      <c r="B55" s="1"/>
      <c r="C55" s="1"/>
      <c r="D55" s="1"/>
      <c r="E55" s="1"/>
      <c r="F55" s="1"/>
      <c r="G55" s="1"/>
      <c r="H55" s="1"/>
      <c r="I55" s="1"/>
      <c r="J55" s="1"/>
      <c r="K55" s="1"/>
      <c r="L55" s="1"/>
      <c r="M55" s="1"/>
    </row>
    <row r="56" spans="1:13">
      <c r="A56" s="1"/>
      <c r="B56" s="1"/>
      <c r="C56" s="1"/>
      <c r="D56" s="1"/>
      <c r="E56" s="1"/>
      <c r="F56" s="1"/>
      <c r="G56" s="1"/>
      <c r="H56" s="1"/>
      <c r="I56" s="1"/>
      <c r="J56" s="1"/>
      <c r="K56" s="1"/>
      <c r="L56" s="1"/>
      <c r="M56" s="1"/>
    </row>
    <row r="57" spans="1:13">
      <c r="A57" s="1"/>
      <c r="B57" s="1"/>
      <c r="C57" s="1"/>
      <c r="D57" s="1"/>
      <c r="E57" s="1"/>
      <c r="F57" s="1"/>
      <c r="G57" s="1"/>
      <c r="H57" s="1"/>
      <c r="I57" s="1"/>
      <c r="J57" s="1"/>
      <c r="K57" s="1"/>
      <c r="L57" s="1"/>
      <c r="M57" s="1"/>
    </row>
    <row r="58" spans="1:13">
      <c r="A58" s="1"/>
      <c r="B58" s="1"/>
      <c r="C58" s="1"/>
      <c r="D58" s="1"/>
      <c r="E58" s="1"/>
      <c r="F58" s="1"/>
      <c r="G58" s="1"/>
      <c r="H58" s="1"/>
      <c r="I58" s="1"/>
      <c r="J58" s="1"/>
      <c r="K58" s="1"/>
      <c r="L58" s="1"/>
      <c r="M58" s="1"/>
    </row>
    <row r="59" spans="1:13">
      <c r="A59" s="1"/>
      <c r="B59" s="1"/>
      <c r="C59" s="1"/>
      <c r="D59" s="1"/>
      <c r="E59" s="1"/>
      <c r="F59" s="1"/>
      <c r="G59" s="1"/>
      <c r="H59" s="1"/>
      <c r="I59" s="1"/>
      <c r="J59" s="1"/>
      <c r="K59" s="1"/>
      <c r="L59" s="1"/>
      <c r="M59" s="1"/>
    </row>
    <row r="60" spans="1:13">
      <c r="A60" s="1"/>
      <c r="B60" s="1"/>
      <c r="C60" s="1"/>
      <c r="D60" s="1"/>
      <c r="E60" s="1"/>
      <c r="F60" s="1"/>
      <c r="G60" s="1"/>
      <c r="H60" s="1"/>
      <c r="I60" s="1"/>
      <c r="J60" s="1"/>
      <c r="K60" s="1"/>
      <c r="L60" s="1"/>
      <c r="M60" s="1"/>
    </row>
    <row r="61" spans="1:13">
      <c r="A61" s="1"/>
      <c r="B61" s="1"/>
      <c r="C61" s="1"/>
      <c r="D61" s="1"/>
      <c r="E61" s="1"/>
      <c r="F61" s="1"/>
      <c r="G61" s="1"/>
      <c r="H61" s="1"/>
      <c r="I61" s="1"/>
      <c r="J61" s="1"/>
      <c r="K61" s="1"/>
      <c r="L61" s="1"/>
      <c r="M61" s="1"/>
    </row>
    <row r="62" spans="1:13">
      <c r="A62" s="1"/>
      <c r="B62" s="1"/>
      <c r="C62" s="1"/>
      <c r="D62" s="1"/>
      <c r="E62" s="1"/>
      <c r="F62" s="1"/>
      <c r="G62" s="1"/>
      <c r="H62" s="1"/>
      <c r="I62" s="1"/>
      <c r="J62" s="1"/>
      <c r="K62" s="1"/>
      <c r="L62" s="1"/>
      <c r="M62" s="1"/>
    </row>
    <row r="63" spans="1:13">
      <c r="A63" s="1"/>
      <c r="B63" s="1"/>
      <c r="C63" s="1"/>
      <c r="D63" s="1"/>
      <c r="E63" s="1"/>
      <c r="F63" s="1"/>
      <c r="G63" s="1"/>
      <c r="H63" s="1"/>
      <c r="I63" s="1"/>
      <c r="J63" s="1"/>
      <c r="K63" s="1"/>
      <c r="L63" s="1"/>
      <c r="M63" s="1"/>
    </row>
    <row r="64" spans="1:13">
      <c r="A64" s="1"/>
      <c r="B64" s="1"/>
      <c r="C64" s="1"/>
      <c r="D64" s="1"/>
      <c r="E64" s="1"/>
      <c r="F64" s="1"/>
      <c r="G64" s="1"/>
      <c r="H64" s="1"/>
      <c r="I64" s="1"/>
      <c r="J64" s="1"/>
      <c r="K64" s="1"/>
      <c r="L64" s="1"/>
      <c r="M64" s="1"/>
    </row>
    <row r="65" spans="1:13">
      <c r="A65" s="1"/>
      <c r="B65" s="1"/>
      <c r="C65" s="1"/>
      <c r="D65" s="1"/>
      <c r="E65" s="1"/>
      <c r="F65" s="1"/>
      <c r="G65" s="1"/>
      <c r="H65" s="1"/>
      <c r="I65" s="1"/>
      <c r="J65" s="1"/>
      <c r="K65" s="1"/>
      <c r="L65" s="1"/>
      <c r="M65" s="1"/>
    </row>
    <row r="66" spans="1:13">
      <c r="A66" s="1"/>
      <c r="B66" s="1"/>
      <c r="C66" s="1"/>
      <c r="D66" s="1"/>
      <c r="E66" s="1"/>
      <c r="F66" s="1"/>
      <c r="G66" s="1"/>
      <c r="H66" s="1"/>
      <c r="I66" s="1"/>
      <c r="J66" s="1"/>
      <c r="K66" s="1"/>
      <c r="L66" s="1"/>
      <c r="M66" s="1"/>
    </row>
    <row r="67" spans="1:13">
      <c r="A67" s="1"/>
      <c r="B67" s="1"/>
      <c r="C67" s="1"/>
      <c r="D67" s="1"/>
      <c r="E67" s="1"/>
      <c r="F67" s="1"/>
      <c r="G67" s="1"/>
      <c r="H67" s="1"/>
      <c r="I67" s="1"/>
      <c r="J67" s="1"/>
      <c r="K67" s="1"/>
      <c r="L67" s="1"/>
      <c r="M67" s="1"/>
    </row>
    <row r="68" spans="1:13">
      <c r="A68" s="1"/>
      <c r="B68" s="1"/>
      <c r="C68" s="1"/>
      <c r="D68" s="1"/>
      <c r="E68" s="1"/>
      <c r="F68" s="1"/>
      <c r="G68" s="1"/>
      <c r="H68" s="1"/>
      <c r="I68" s="1"/>
      <c r="J68" s="1"/>
      <c r="K68" s="1"/>
      <c r="L68" s="1"/>
      <c r="M68" s="1"/>
    </row>
    <row r="69" spans="1:13">
      <c r="A69" s="1"/>
      <c r="B69" s="1"/>
      <c r="C69" s="1"/>
      <c r="D69" s="1"/>
      <c r="E69" s="1"/>
      <c r="F69" s="1"/>
      <c r="G69" s="1"/>
      <c r="H69" s="1"/>
      <c r="I69" s="1"/>
      <c r="J69" s="1"/>
      <c r="K69" s="1"/>
      <c r="L69" s="1"/>
      <c r="M69" s="1"/>
    </row>
    <row r="70" spans="1:13">
      <c r="A70" s="1"/>
      <c r="B70" s="1"/>
      <c r="C70" s="1"/>
      <c r="D70" s="1"/>
      <c r="E70" s="1"/>
      <c r="F70" s="1"/>
      <c r="G70" s="1"/>
      <c r="H70" s="1"/>
      <c r="I70" s="1"/>
      <c r="J70" s="1"/>
      <c r="K70" s="1"/>
      <c r="L70" s="1"/>
      <c r="M70" s="1"/>
    </row>
    <row r="71" spans="1:13">
      <c r="A71" s="1"/>
      <c r="B71" s="1"/>
      <c r="C71" s="1"/>
      <c r="D71" s="1"/>
      <c r="E71" s="1"/>
      <c r="F71" s="1"/>
      <c r="G71" s="1"/>
      <c r="H71" s="1"/>
      <c r="I71" s="1"/>
      <c r="J71" s="1"/>
      <c r="K71" s="1"/>
      <c r="L71" s="1"/>
      <c r="M71" s="1"/>
    </row>
    <row r="72" spans="1:13">
      <c r="A72" s="1"/>
      <c r="B72" s="1"/>
      <c r="C72" s="1"/>
      <c r="D72" s="1"/>
      <c r="E72" s="1"/>
      <c r="F72" s="1"/>
      <c r="G72" s="1"/>
      <c r="H72" s="1"/>
      <c r="I72" s="1"/>
      <c r="J72" s="1"/>
      <c r="K72" s="1"/>
      <c r="L72" s="1"/>
      <c r="M72" s="1"/>
    </row>
    <row r="73" spans="1:13">
      <c r="A73" s="1"/>
      <c r="B73" s="1"/>
      <c r="C73" s="1"/>
      <c r="D73" s="1"/>
      <c r="E73" s="1"/>
      <c r="F73" s="1"/>
      <c r="G73" s="1"/>
      <c r="H73" s="1"/>
      <c r="I73" s="1"/>
      <c r="J73" s="1"/>
      <c r="K73" s="1"/>
      <c r="L73" s="1"/>
      <c r="M73" s="1"/>
    </row>
    <row r="74" spans="1:13">
      <c r="A74" s="1"/>
      <c r="B74" s="1"/>
      <c r="C74" s="1"/>
      <c r="D74" s="1"/>
      <c r="E74" s="1"/>
      <c r="F74" s="1"/>
      <c r="G74" s="1"/>
      <c r="H74" s="1"/>
      <c r="I74" s="1"/>
      <c r="J74" s="1"/>
      <c r="K74" s="1"/>
      <c r="L74" s="1"/>
      <c r="M74" s="1"/>
    </row>
    <row r="75" spans="1:13">
      <c r="A75" s="1"/>
      <c r="B75" s="1"/>
      <c r="C75" s="1"/>
      <c r="D75" s="1"/>
      <c r="E75" s="1"/>
      <c r="F75" s="1"/>
      <c r="G75" s="1"/>
      <c r="H75" s="1"/>
      <c r="I75" s="1"/>
      <c r="J75" s="1"/>
      <c r="K75" s="1"/>
      <c r="L75" s="1"/>
      <c r="M75" s="1"/>
    </row>
    <row r="76" spans="1:13">
      <c r="A76" s="1"/>
      <c r="B76" s="1"/>
      <c r="C76" s="1"/>
      <c r="D76" s="1"/>
      <c r="E76" s="1"/>
      <c r="F76" s="1"/>
      <c r="G76" s="1"/>
      <c r="H76" s="1"/>
      <c r="I76" s="1"/>
      <c r="J76" s="1"/>
      <c r="K76" s="1"/>
      <c r="L76" s="1"/>
      <c r="M76" s="1"/>
    </row>
    <row r="77" spans="1:13">
      <c r="A77" s="1"/>
      <c r="B77" s="1"/>
      <c r="C77" s="1"/>
      <c r="D77" s="1"/>
      <c r="E77" s="1"/>
      <c r="F77" s="1"/>
      <c r="G77" s="1"/>
      <c r="H77" s="1"/>
      <c r="I77" s="1"/>
      <c r="J77" s="1"/>
      <c r="K77" s="1"/>
      <c r="L77" s="1"/>
      <c r="M77" s="1"/>
    </row>
    <row r="78" spans="1:13">
      <c r="A78" s="1"/>
      <c r="B78" s="1"/>
      <c r="C78" s="1"/>
      <c r="D78" s="1"/>
      <c r="E78" s="1"/>
      <c r="F78" s="1"/>
      <c r="G78" s="1"/>
      <c r="H78" s="1"/>
      <c r="I78" s="1"/>
      <c r="J78" s="1"/>
      <c r="K78" s="1"/>
      <c r="L78" s="1"/>
      <c r="M78" s="1"/>
    </row>
    <row r="79" spans="1:13">
      <c r="A79" s="1"/>
      <c r="B79" s="1"/>
      <c r="C79" s="1"/>
      <c r="D79" s="1"/>
      <c r="E79" s="1"/>
      <c r="F79" s="1"/>
      <c r="G79" s="1"/>
      <c r="H79" s="1"/>
      <c r="I79" s="1"/>
      <c r="J79" s="1"/>
      <c r="K79" s="1"/>
      <c r="L79" s="1"/>
      <c r="M79" s="1"/>
    </row>
    <row r="80" spans="1:13">
      <c r="A80" s="1"/>
      <c r="B80" s="1"/>
      <c r="C80" s="1"/>
      <c r="D80" s="1"/>
      <c r="E80" s="1"/>
      <c r="F80" s="1"/>
      <c r="G80" s="1"/>
      <c r="H80" s="1"/>
      <c r="I80" s="1"/>
      <c r="J80" s="1"/>
      <c r="K80" s="1"/>
      <c r="L80" s="1"/>
      <c r="M80" s="1"/>
    </row>
    <row r="81" spans="1:13">
      <c r="A81" s="1"/>
      <c r="B81" s="1"/>
      <c r="C81" s="1"/>
      <c r="D81" s="1"/>
      <c r="E81" s="1"/>
      <c r="F81" s="1"/>
      <c r="G81" s="1"/>
      <c r="H81" s="1"/>
      <c r="I81" s="1"/>
      <c r="J81" s="1"/>
      <c r="K81" s="1"/>
      <c r="L81" s="1"/>
      <c r="M81" s="1"/>
    </row>
    <row r="82" spans="1:13">
      <c r="A82" s="1"/>
      <c r="B82" s="1"/>
      <c r="C82" s="1"/>
      <c r="D82" s="1"/>
      <c r="E82" s="1"/>
      <c r="F82" s="1"/>
      <c r="G82" s="1"/>
      <c r="H82" s="1"/>
      <c r="I82" s="1"/>
      <c r="J82" s="1"/>
      <c r="K82" s="1"/>
      <c r="L82" s="1"/>
      <c r="M82" s="1"/>
    </row>
  </sheetData>
  <mergeCells count="4">
    <mergeCell ref="A1:C1"/>
    <mergeCell ref="A10:C10"/>
    <mergeCell ref="A24:C24"/>
    <mergeCell ref="A25:C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Inputs</vt:lpstr>
      <vt:lpstr>EV_EBITDA</vt:lpstr>
      <vt:lpstr>PE_PS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Keitumetse</dc:creator>
  <cp:lastModifiedBy>Keitumetse Precious</cp:lastModifiedBy>
  <dcterms:created xsi:type="dcterms:W3CDTF">2026-08-29T20:25:14Z</dcterms:created>
  <dcterms:modified xsi:type="dcterms:W3CDTF">2026-08-30T14:00:38Z</dcterms:modified>
</cp:coreProperties>
</file>